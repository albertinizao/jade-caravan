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ta general" sheetId="1" r:id="rId5"/>
    <sheet state="visible" name="Caravana" sheetId="2" r:id="rId6"/>
    <sheet state="visible" name="Viajeros" sheetId="3" r:id="rId7"/>
    <sheet state="visible" name="Carros" sheetId="4" r:id="rId8"/>
    <sheet state="visible" name="Hospedaje" sheetId="5" r:id="rId9"/>
    <sheet state="visible" name="Carga" sheetId="6" r:id="rId10"/>
    <sheet state="visible" name="Tiro" sheetId="7" r:id="rId11"/>
    <sheet state="visible" name="Lista Bestias Carga" sheetId="8" r:id="rId12"/>
    <sheet state="visible" name="Lista Mercancías" sheetId="9" r:id="rId13"/>
    <sheet state="visible" name="Lista Carros" sheetId="10" r:id="rId14"/>
    <sheet state="visible" name="Lista Roles" sheetId="11" r:id="rId15"/>
    <sheet state="hidden" name="Consumo Carro-Viajeros" sheetId="12" r:id="rId16"/>
    <sheet state="hidden" name="Fuerza Carro-Tiro" sheetId="13" r:id="rId17"/>
    <sheet state="hidden" name="Ocupación Carro-Tiro" sheetId="14" r:id="rId18"/>
    <sheet state="hidden" name="Ocupación Carro-Viajeros" sheetId="15" r:id="rId19"/>
    <sheet state="hidden" name="Ocupación Carro-Mercancía" sheetId="16" r:id="rId20"/>
  </sheets>
  <definedNames/>
  <calcPr/>
</workbook>
</file>

<file path=xl/sharedStrings.xml><?xml version="1.0" encoding="utf-8"?>
<sst xmlns="http://schemas.openxmlformats.org/spreadsheetml/2006/main" count="1162" uniqueCount="350">
  <si>
    <t>Carros</t>
  </si>
  <si>
    <t>Selección aleatoria carros</t>
  </si>
  <si>
    <t>Consumo total</t>
  </si>
  <si>
    <t>Viajeros</t>
  </si>
  <si>
    <t>Viajeros transportados</t>
  </si>
  <si>
    <t>Bestias</t>
  </si>
  <si>
    <t>Salario</t>
  </si>
  <si>
    <t>Carro</t>
  </si>
  <si>
    <t>Resistencia</t>
  </si>
  <si>
    <t>Tiro</t>
  </si>
  <si>
    <t>Pasajeros</t>
  </si>
  <si>
    <t>Carga</t>
  </si>
  <si>
    <t>Extra</t>
  </si>
  <si>
    <t>PG</t>
  </si>
  <si>
    <t>Dureza</t>
  </si>
  <si>
    <t>Nombre</t>
  </si>
  <si>
    <t>Tipo</t>
  </si>
  <si>
    <t>Daño</t>
  </si>
  <si>
    <t>Máximo</t>
  </si>
  <si>
    <t>Ocupado</t>
  </si>
  <si>
    <t>Roles posibles</t>
  </si>
  <si>
    <t>Descripción</t>
  </si>
  <si>
    <t>Rol actual</t>
  </si>
  <si>
    <t>Rol adicional</t>
  </si>
  <si>
    <t>Consumo</t>
  </si>
  <si>
    <t>Espacio</t>
  </si>
  <si>
    <t>Con cama</t>
  </si>
  <si>
    <t>Renji</t>
  </si>
  <si>
    <t>Boticario</t>
  </si>
  <si>
    <t>Guarda</t>
  </si>
  <si>
    <t>Pasajero</t>
  </si>
  <si>
    <t>O Chin Chin</t>
  </si>
  <si>
    <t>Explorador nocturno</t>
  </si>
  <si>
    <t>Lewis</t>
  </si>
  <si>
    <t>Guía</t>
  </si>
  <si>
    <t>Comediante</t>
  </si>
  <si>
    <t>Irgadriel</t>
  </si>
  <si>
    <t>Virihane</t>
  </si>
  <si>
    <t>Encargado de suministros</t>
  </si>
  <si>
    <t>Artesano</t>
  </si>
  <si>
    <t>Hiriko</t>
  </si>
  <si>
    <t>Carrero</t>
  </si>
  <si>
    <t>Carretero</t>
  </si>
  <si>
    <t>Comerciante</t>
  </si>
  <si>
    <t>Shalelu</t>
  </si>
  <si>
    <t>Batidor</t>
  </si>
  <si>
    <t>Leñador</t>
  </si>
  <si>
    <t>Nevero</t>
  </si>
  <si>
    <t>Meteorólogo</t>
  </si>
  <si>
    <t>Lanzador de conjuros</t>
  </si>
  <si>
    <t>Sandru</t>
  </si>
  <si>
    <t>Domador</t>
  </si>
  <si>
    <t>Diplomático</t>
  </si>
  <si>
    <t>Cronista</t>
  </si>
  <si>
    <t>Ameiko</t>
  </si>
  <si>
    <t>Animador itinerante</t>
  </si>
  <si>
    <t>Cocinero</t>
  </si>
  <si>
    <t>Koya</t>
  </si>
  <si>
    <t>Adivino</t>
  </si>
  <si>
    <t>Sanador</t>
  </si>
  <si>
    <t>Bevelek</t>
  </si>
  <si>
    <t>Conductor inicial</t>
  </si>
  <si>
    <t>Vankor</t>
  </si>
  <si>
    <t>Velani Korrast</t>
  </si>
  <si>
    <t>Random</t>
  </si>
  <si>
    <t>Seya Numari</t>
  </si>
  <si>
    <t>Ormund Gevren</t>
  </si>
  <si>
    <t>Caurrin Whesterwill</t>
  </si>
  <si>
    <t>Molinero de Punta Arena</t>
  </si>
  <si>
    <t>Clark (perro Lewis)</t>
  </si>
  <si>
    <t>Ralvio Dorran</t>
  </si>
  <si>
    <t>Borrachín</t>
  </si>
  <si>
    <t>Erivo</t>
  </si>
  <si>
    <t>Semiorca hechicera</t>
  </si>
  <si>
    <t>Devoramundos</t>
  </si>
  <si>
    <t>Esclavista</t>
  </si>
  <si>
    <t>Profesor</t>
  </si>
  <si>
    <t>Instructor</t>
  </si>
  <si>
    <t>Korrin Feldane</t>
  </si>
  <si>
    <t>Spivey</t>
  </si>
  <si>
    <t>Eirik "Cuervo Roto"</t>
  </si>
  <si>
    <t>Proscritos ulfen</t>
  </si>
  <si>
    <t>Takorr Senda Quemada</t>
  </si>
  <si>
    <t>Proscritos shoanti</t>
  </si>
  <si>
    <t>Jorgaan de la Roca Blanca</t>
  </si>
  <si>
    <t>Ketaek pasos cortos</t>
  </si>
  <si>
    <t>Sigmund "Ojos de Hielo"</t>
  </si>
  <si>
    <t>Yrja Vientonegro</t>
  </si>
  <si>
    <t>Ashka Cantoceniza</t>
  </si>
  <si>
    <t>Freydis Manodura</t>
  </si>
  <si>
    <t>Cholna de las Lluvias</t>
  </si>
  <si>
    <t>Kelda</t>
  </si>
  <si>
    <t>Frinn (huérfano)</t>
  </si>
  <si>
    <t>Niño huérfano de Tomgruv</t>
  </si>
  <si>
    <t>Skøra (huérfana)</t>
  </si>
  <si>
    <t>Niña huérfano de Tomgruv</t>
  </si>
  <si>
    <t>Krixi cincadientes</t>
  </si>
  <si>
    <t>Kobol de Tomgruv</t>
  </si>
  <si>
    <t>Sirviente</t>
  </si>
  <si>
    <t>Caballos Yakutos</t>
  </si>
  <si>
    <t>Animales de tiro</t>
  </si>
  <si>
    <t>Miaulee</t>
  </si>
  <si>
    <t>Gato de Irgadriel</t>
  </si>
  <si>
    <t>Osezno</t>
  </si>
  <si>
    <t>Hargor Hagorsson</t>
  </si>
  <si>
    <t>Padre Hargorsson</t>
  </si>
  <si>
    <t>Agricultor</t>
  </si>
  <si>
    <t>Siv Hagorsson</t>
  </si>
  <si>
    <t>Madre Hargorsson</t>
  </si>
  <si>
    <t>Torvald Hagorsson</t>
  </si>
  <si>
    <t>Hijo mayor 22 Hargorsson</t>
  </si>
  <si>
    <t>Sirviente (agricultor)</t>
  </si>
  <si>
    <t>Inga Hagorsson</t>
  </si>
  <si>
    <t>Hija mediana 18 Hargorsson</t>
  </si>
  <si>
    <t>Leif Hagorsson</t>
  </si>
  <si>
    <t>Hijo menor 12 Hargorsson</t>
  </si>
  <si>
    <t>Hayashi Tomoko</t>
  </si>
  <si>
    <t>Madre minkaiana Tomoko</t>
  </si>
  <si>
    <t>Daichi Tomoko</t>
  </si>
  <si>
    <t>Hijo mayor 11 Tomoko</t>
  </si>
  <si>
    <t>Aiko Tomoko</t>
  </si>
  <si>
    <t>Hija menor 9 Tomoko</t>
  </si>
  <si>
    <t>Halvard Kaelvik</t>
  </si>
  <si>
    <t>Ulfen homosexual pareja de Perrin</t>
  </si>
  <si>
    <t>Perrin Holbrook</t>
  </si>
  <si>
    <t>Mediano homosexual pareja de Halvard</t>
  </si>
  <si>
    <t>Eilvarr</t>
  </si>
  <si>
    <t>Semielfo illenivari hechicero de hielo</t>
  </si>
  <si>
    <t>Brindelvasthimir Quillopon Dranzibandor</t>
  </si>
  <si>
    <t>Gnomo druida</t>
  </si>
  <si>
    <t>Skali (Troi), el puto troll</t>
  </si>
  <si>
    <t>Ramaso Panor</t>
  </si>
  <si>
    <t>Héroe de Castrovel</t>
  </si>
  <si>
    <t>Dominic Torettoson</t>
  </si>
  <si>
    <t>Ganador de carreras de trineos</t>
  </si>
  <si>
    <t>Helgalvar</t>
  </si>
  <si>
    <t>Casco Ulfen</t>
  </si>
  <si>
    <t>Ulf el Ulfen</t>
  </si>
  <si>
    <t>Asmund (el quesero)</t>
  </si>
  <si>
    <t>Conrato de exportación de queso hasta Tian Xia (1000 po a la llegada)</t>
  </si>
  <si>
    <t>Selanza Rovari</t>
  </si>
  <si>
    <t>Mercader que quiere importar tintes</t>
  </si>
  <si>
    <t>Inuliak</t>
  </si>
  <si>
    <t>Comerciante erutaki</t>
  </si>
  <si>
    <t>Odval</t>
  </si>
  <si>
    <t>Chica tian-la 15 de Inuliak</t>
  </si>
  <si>
    <t>Sirviente (batidor)</t>
  </si>
  <si>
    <t>Shuo</t>
  </si>
  <si>
    <t>Chico tian-shu 12 de Inuliak</t>
  </si>
  <si>
    <t>Sirviente (boticario)</t>
  </si>
  <si>
    <t>Agricultor random 1</t>
  </si>
  <si>
    <t>Agricultor random 2</t>
  </si>
  <si>
    <t>Conduct random 1</t>
  </si>
  <si>
    <t>Conduct random 2</t>
  </si>
  <si>
    <t>Conduct random 3</t>
  </si>
  <si>
    <t>Conduct random 4</t>
  </si>
  <si>
    <t>Conduct random 5</t>
  </si>
  <si>
    <t>Conduct random 6</t>
  </si>
  <si>
    <t>Conduct random 7</t>
  </si>
  <si>
    <t>Conduct random 8</t>
  </si>
  <si>
    <t>Conduct random 9</t>
  </si>
  <si>
    <t>Conduct random 10</t>
  </si>
  <si>
    <t>Conduct random 11</t>
  </si>
  <si>
    <t>Conduct random 12</t>
  </si>
  <si>
    <t>Uksahkka</t>
  </si>
  <si>
    <t>"Hermana" de Ulf</t>
  </si>
  <si>
    <t>Yak</t>
  </si>
  <si>
    <t>Perro de Renji</t>
  </si>
  <si>
    <t>Akane</t>
  </si>
  <si>
    <t>Tía abuela de Renji</t>
  </si>
  <si>
    <t>Thriss</t>
  </si>
  <si>
    <t>Nycarr (Linnorm)</t>
  </si>
  <si>
    <t>Soki Mogu</t>
  </si>
  <si>
    <t>Tengu</t>
  </si>
  <si>
    <t>Aguante</t>
  </si>
  <si>
    <t>Propulsión</t>
  </si>
  <si>
    <t>Fuerza</t>
  </si>
  <si>
    <t>Criaturas máxima</t>
  </si>
  <si>
    <t>Tipo Carro</t>
  </si>
  <si>
    <t>Mejoras</t>
  </si>
  <si>
    <t>TOTAL</t>
  </si>
  <si>
    <t>Base</t>
  </si>
  <si>
    <t>Mejora</t>
  </si>
  <si>
    <t>Viajeros 1</t>
  </si>
  <si>
    <t>Carro de viajeros</t>
  </si>
  <si>
    <t>Viajeros 2</t>
  </si>
  <si>
    <t>Viajeros 3</t>
  </si>
  <si>
    <t>Viajeros 4</t>
  </si>
  <si>
    <t>Viajeros 5</t>
  </si>
  <si>
    <t>Prisioneros</t>
  </si>
  <si>
    <t>Carro de prisioneros</t>
  </si>
  <si>
    <t>Zoo</t>
  </si>
  <si>
    <t>Carro zoológico</t>
  </si>
  <si>
    <t>Familias Kalsgard</t>
  </si>
  <si>
    <t>Carruaje familiar</t>
  </si>
  <si>
    <t>Mercancías Hierro</t>
  </si>
  <si>
    <t>Carro de mercancías</t>
  </si>
  <si>
    <t>Mercancías General</t>
  </si>
  <si>
    <t>Mercancías Punta Arena</t>
  </si>
  <si>
    <t>Mercancías Kalsgard</t>
  </si>
  <si>
    <t>Carro de mercancías específicas</t>
  </si>
  <si>
    <t>Carbón</t>
  </si>
  <si>
    <t>Queso</t>
  </si>
  <si>
    <t>Suministros 1</t>
  </si>
  <si>
    <t>Carro de suministros</t>
  </si>
  <si>
    <t>Suministros 2</t>
  </si>
  <si>
    <t>Carro de adivino</t>
  </si>
  <si>
    <t>Taller</t>
  </si>
  <si>
    <t>Carro con taller</t>
  </si>
  <si>
    <t>Escuela</t>
  </si>
  <si>
    <t>Carro escuela</t>
  </si>
  <si>
    <t>Huerto Hagorsson</t>
  </si>
  <si>
    <t>Carro huerto</t>
  </si>
  <si>
    <t>Huerto 1</t>
  </si>
  <si>
    <t>Huerto 2</t>
  </si>
  <si>
    <t>Hospital</t>
  </si>
  <si>
    <t>Carro médico</t>
  </si>
  <si>
    <t>Bar sin límites</t>
  </si>
  <si>
    <t>Carro taberna</t>
  </si>
  <si>
    <t>Cómodo 1</t>
  </si>
  <si>
    <t>Carruaje cómodo</t>
  </si>
  <si>
    <t>Acorazado, espacio ampliado (viajeros)</t>
  </si>
  <si>
    <t>Cómodo 2</t>
  </si>
  <si>
    <t>Real</t>
  </si>
  <si>
    <t>Carruaje real</t>
  </si>
  <si>
    <t>Acorazado</t>
  </si>
  <si>
    <t>Viajeros grande</t>
  </si>
  <si>
    <t>Espacio ampliado (viajero)</t>
  </si>
  <si>
    <t>Pasajeros máximo</t>
  </si>
  <si>
    <t>Pasajeros actuales</t>
  </si>
  <si>
    <t>Consumo por pasajeros</t>
  </si>
  <si>
    <t>krixi cincadientes</t>
  </si>
  <si>
    <t>caballos Yakutos</t>
  </si>
  <si>
    <t>osezno</t>
  </si>
  <si>
    <t>Carga máxima</t>
  </si>
  <si>
    <t>Carga actual</t>
  </si>
  <si>
    <t>Material de reparaciones</t>
  </si>
  <si>
    <t>Tienda de campaña de supervivencia</t>
  </si>
  <si>
    <t>Equipo para climas fríos</t>
  </si>
  <si>
    <t>Estufa</t>
  </si>
  <si>
    <t>Tenderete</t>
  </si>
  <si>
    <t>Trampas de campamento</t>
  </si>
  <si>
    <t>Hierro</t>
  </si>
  <si>
    <t>Mercancías</t>
  </si>
  <si>
    <t>Mercancías locales (Punta Arena)</t>
  </si>
  <si>
    <t>Mercancías locales (Kalsgard)</t>
  </si>
  <si>
    <t>Carbón (consumible)</t>
  </si>
  <si>
    <t>Suministros</t>
  </si>
  <si>
    <t>Altar sagrado (Desna)</t>
  </si>
  <si>
    <t>Altar sagrado (Shelyn)</t>
  </si>
  <si>
    <t>Materiales mágicos diversos</t>
  </si>
  <si>
    <t>Material para venenos</t>
  </si>
  <si>
    <t>Cocina portátil</t>
  </si>
  <si>
    <t>Tesoro 750</t>
  </si>
  <si>
    <t>Tesoro 400</t>
  </si>
  <si>
    <t>Forja portatil</t>
  </si>
  <si>
    <t>Sello de Amatatsu</t>
  </si>
  <si>
    <t>Fuerza necesaria</t>
  </si>
  <si>
    <t>Fuerza actual</t>
  </si>
  <si>
    <t>Suficiente</t>
  </si>
  <si>
    <t>Bestias máximas</t>
  </si>
  <si>
    <t>Bestias actual</t>
  </si>
  <si>
    <t>Bestia</t>
  </si>
  <si>
    <t>Fuerza práctica</t>
  </si>
  <si>
    <t>Tamaño</t>
  </si>
  <si>
    <t>Cantidad</t>
  </si>
  <si>
    <t>Ocupados</t>
  </si>
  <si>
    <t>Libres</t>
  </si>
  <si>
    <t>Caballo ligero</t>
  </si>
  <si>
    <t>Caballo pesado</t>
  </si>
  <si>
    <t>Poni</t>
  </si>
  <si>
    <t>Caballo yakuto</t>
  </si>
  <si>
    <t>Caballo pottoka</t>
  </si>
  <si>
    <t>Caballo shire</t>
  </si>
  <si>
    <t>Camello</t>
  </si>
  <si>
    <t>Mula</t>
  </si>
  <si>
    <t>Buey</t>
  </si>
  <si>
    <t>Bisonte</t>
  </si>
  <si>
    <t>Lagarto monitor gigante</t>
  </si>
  <si>
    <t>Grifo</t>
  </si>
  <si>
    <t>Alce gigante</t>
  </si>
  <si>
    <t>Perro de monta</t>
  </si>
  <si>
    <t>Perro de trineo</t>
  </si>
  <si>
    <t>Transportado</t>
  </si>
  <si>
    <t>Adamantita</t>
  </si>
  <si>
    <t>Carbón (mercancía)</t>
  </si>
  <si>
    <t>Cobre</t>
  </si>
  <si>
    <t>Cristal</t>
  </si>
  <si>
    <t>Cuero</t>
  </si>
  <si>
    <t>Hielo</t>
  </si>
  <si>
    <t>Leña</t>
  </si>
  <si>
    <t>Madera</t>
  </si>
  <si>
    <t>Mithril</t>
  </si>
  <si>
    <t>Munición de balista ligera</t>
  </si>
  <si>
    <t>Munición de balista pesada</t>
  </si>
  <si>
    <t>Munición de cañón</t>
  </si>
  <si>
    <t>Munición de cañón boca demoníaca</t>
  </si>
  <si>
    <t>Munición de fuego de draco</t>
  </si>
  <si>
    <t>Oro</t>
  </si>
  <si>
    <t>Pabellón de entretenimiento</t>
  </si>
  <si>
    <t>Piedra de comunicación</t>
  </si>
  <si>
    <t>Plata</t>
  </si>
  <si>
    <t>Platino</t>
  </si>
  <si>
    <t>Sal</t>
  </si>
  <si>
    <t>Suministros perecederos</t>
  </si>
  <si>
    <t>Criaturas</t>
  </si>
  <si>
    <t>Límite</t>
  </si>
  <si>
    <t>Capacidad</t>
  </si>
  <si>
    <t>Beneficio especial</t>
  </si>
  <si>
    <t>Fue</t>
  </si>
  <si>
    <t>Cargamento</t>
  </si>
  <si>
    <t>Carro cubierto</t>
  </si>
  <si>
    <t>Otorga +1 CA a la caravana</t>
  </si>
  <si>
    <t>Carro de esclavista</t>
  </si>
  <si>
    <t>Otorga +2 a la Seguridad de la caravana</t>
  </si>
  <si>
    <t>No puede llevar humanoides</t>
  </si>
  <si>
    <t>1/5 caravana</t>
  </si>
  <si>
    <t>Criaturas pequeñas cuentan como ½</t>
  </si>
  <si>
    <t>Otorga +2 Determinación por pasajero asignado</t>
  </si>
  <si>
    <t>Carro biblioteca</t>
  </si>
  <si>
    <t>Otorga +4 Saber al investigar en su interior</t>
  </si>
  <si>
    <t>Carro descubierto</t>
  </si>
  <si>
    <t>Riesgo 5% de perder carga por clima</t>
  </si>
  <si>
    <t>Solo 1 tipo de mercancía específica</t>
  </si>
  <si>
    <t>Solo suministros y perecederos</t>
  </si>
  <si>
    <t>Carro museo</t>
  </si>
  <si>
    <t>1% valor tesoros/día en asentamiento</t>
  </si>
  <si>
    <t>Carro arcano</t>
  </si>
  <si>
    <t>Especial</t>
  </si>
  <si>
    <t>Reduce coste material 10 po; +4 concentración</t>
  </si>
  <si>
    <t>Habilita rol de Adivino</t>
  </si>
  <si>
    <t>Puede realizar Artesanía viajando</t>
  </si>
  <si>
    <t>Puede enseñar (hasta 2 profesores)</t>
  </si>
  <si>
    <t>Solo viajeros asignados pueden ser agricultores</t>
  </si>
  <si>
    <t>Dobla beneficios de cuidados a largo plazo</t>
  </si>
  <si>
    <t>Carro vacío</t>
  </si>
  <si>
    <t>Trineo de pasajeros</t>
  </si>
  <si>
    <t>Trineo de carga</t>
  </si>
  <si>
    <t>Rol</t>
  </si>
  <si>
    <t>Activos</t>
  </si>
  <si>
    <t>Personajes</t>
  </si>
  <si>
    <t>Artillero</t>
  </si>
  <si>
    <t>Esclavo</t>
  </si>
  <si>
    <t>Héroe</t>
  </si>
  <si>
    <t>Líder de la caravana</t>
  </si>
  <si>
    <t>Prisionero</t>
  </si>
  <si>
    <t>CONSUMO</t>
  </si>
  <si>
    <t>FUERZA</t>
  </si>
  <si>
    <t>OCUPACIÓN</t>
  </si>
  <si>
    <t>ESPACIO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</si>
</sst>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8.0"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6" fillId="0" fontId="1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0" fillId="0" fontId="1" numFmtId="0" xfId="0" applyAlignment="1" applyBorder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2" numFmtId="0" xfId="0" applyFont="1"/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3" fontId="1" numFmtId="0" xfId="0" applyFill="1" applyFont="1"/>
    <xf borderId="0" fillId="0" fontId="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2" numFmtId="1" xfId="0" applyAlignment="1" applyFont="1" applyNumberFormat="1">
      <alignment readingOrder="0"/>
    </xf>
    <xf borderId="0" fillId="4" fontId="2" numFmtId="0" xfId="0" applyAlignment="1" applyFill="1" applyFont="1">
      <alignment horizontal="center"/>
    </xf>
    <xf borderId="0" fillId="4" fontId="1" numFmtId="0" xfId="0" applyAlignment="1" applyFont="1">
      <alignment horizontal="center"/>
    </xf>
    <xf borderId="0" fillId="4" fontId="2" numFmtId="1" xfId="0" applyAlignment="1" applyFont="1" applyNumberFormat="1">
      <alignment horizontal="center"/>
    </xf>
    <xf borderId="0" fillId="0" fontId="1" numFmtId="1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3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11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3" fillId="0" fontId="3" numFmtId="0" xfId="0" applyBorder="1" applyFont="1"/>
    <xf borderId="12" fillId="0" fontId="1" numFmtId="0" xfId="0" applyAlignment="1" applyBorder="1" applyFont="1">
      <alignment readingOrder="0"/>
    </xf>
    <xf borderId="12" fillId="0" fontId="1" numFmtId="0" xfId="0" applyBorder="1" applyFont="1"/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.75"/>
    <col customWidth="1" min="5" max="5" width="2.88"/>
    <col customWidth="1" min="6" max="6" width="19.38"/>
    <col customWidth="1" min="7" max="7" width="2.88"/>
    <col customWidth="1" min="8" max="8" width="19.38"/>
  </cols>
  <sheetData>
    <row r="1">
      <c r="A1" s="1" t="s">
        <v>0</v>
      </c>
      <c r="B1" s="2">
        <f>COUNTA(Carros!A4:A34)</f>
        <v>28</v>
      </c>
      <c r="E1" s="3" t="s">
        <v>1</v>
      </c>
      <c r="F1" s="4"/>
      <c r="G1" s="4"/>
      <c r="H1" s="5"/>
    </row>
    <row r="2">
      <c r="A2" s="6" t="s">
        <v>2</v>
      </c>
      <c r="B2" s="7">
        <f>SUM(Caravana!G4:G34)+SUM('Lista Bestias Carga'!G2:G25)</f>
        <v>126</v>
      </c>
      <c r="E2" s="6">
        <v>1.0</v>
      </c>
      <c r="F2" s="8" t="str">
        <f t="array" ref="F2">INDEX(Caravana!$A$4:$A$100,RANDBETWEEN(1,$B$1),1)</f>
        <v>Mercancías Punta Arena</v>
      </c>
      <c r="G2" s="9">
        <v>29.0</v>
      </c>
      <c r="H2" s="7" t="str">
        <f t="array" ref="H2">INDEX(Caravana!$A$4:$A$100,RANDBETWEEN(1,$B$1),1)</f>
        <v>Huerto Hagorsson</v>
      </c>
    </row>
    <row r="3">
      <c r="A3" s="6" t="s">
        <v>3</v>
      </c>
      <c r="B3" s="7">
        <f>COUNTA(Viajeros!A3:A102)</f>
        <v>80</v>
      </c>
      <c r="E3" s="6">
        <v>2.0</v>
      </c>
      <c r="F3" s="8" t="str">
        <f t="array" ref="F3">INDEX(Caravana!$A$4:$A$100,RANDBETWEEN(1,$B$1),1)</f>
        <v>Suministros 2</v>
      </c>
      <c r="G3" s="9">
        <v>30.0</v>
      </c>
      <c r="H3" s="7" t="str">
        <f t="array" ref="H3">INDEX(Caravana!$A$4:$A$100,RANDBETWEEN(1,$B$1),1)</f>
        <v>Mercancías Kalsgard</v>
      </c>
    </row>
    <row r="4">
      <c r="A4" s="6" t="s">
        <v>4</v>
      </c>
      <c r="B4" s="7" t="str">
        <f>CONCAT(CONCAT(SUM(Caravana!H4:H34),"/"),SUM(Caravana!I4:I34))</f>
        <v>78/117</v>
      </c>
      <c r="E4" s="6">
        <v>3.0</v>
      </c>
      <c r="F4" s="8" t="str">
        <f t="array" ref="F4">INDEX(Caravana!$A$4:$A$100,RANDBETWEEN(1,$B$1),1)</f>
        <v>Mercancías Hierro</v>
      </c>
      <c r="G4" s="9">
        <v>31.0</v>
      </c>
      <c r="H4" s="7" t="str">
        <f t="array" ref="H4">INDEX(Caravana!$A$4:$A$100,RANDBETWEEN(1,$B$1),1)</f>
        <v>Familias Kalsgard</v>
      </c>
    </row>
    <row r="5">
      <c r="A5" s="10"/>
      <c r="B5" s="7"/>
      <c r="E5" s="6">
        <v>4.0</v>
      </c>
      <c r="F5" s="8" t="str">
        <f t="array" ref="F5">INDEX(Caravana!$A$4:$A$100,RANDBETWEEN(1,$B$1),1)</f>
        <v>Huerto 2</v>
      </c>
      <c r="G5" s="9">
        <v>32.0</v>
      </c>
      <c r="H5" s="7" t="str">
        <f t="array" ref="H5">INDEX(Caravana!$A$4:$A$100,RANDBETWEEN(1,$B$1),1)</f>
        <v>Real</v>
      </c>
    </row>
    <row r="6">
      <c r="A6" s="6" t="s">
        <v>5</v>
      </c>
      <c r="B6" s="7">
        <f>SUM('Lista Bestias Carga'!E2:E25)</f>
        <v>63</v>
      </c>
      <c r="E6" s="6">
        <v>5.0</v>
      </c>
      <c r="F6" s="8" t="str">
        <f t="array" ref="F6">INDEX(Caravana!$A$4:$A$100,RANDBETWEEN(1,$B$1),1)</f>
        <v>Viajeros 2</v>
      </c>
      <c r="G6" s="9">
        <v>33.0</v>
      </c>
      <c r="H6" s="7" t="str">
        <f t="array" ref="H6">INDEX(Caravana!$A$4:$A$100,RANDBETWEEN(1,$B$1),1)</f>
        <v>Viajeros 1</v>
      </c>
    </row>
    <row r="7">
      <c r="A7" s="11" t="s">
        <v>6</v>
      </c>
      <c r="B7" s="12">
        <f>SUM(Viajeros!H3:H102)</f>
        <v>347</v>
      </c>
      <c r="E7" s="6">
        <v>6.0</v>
      </c>
      <c r="F7" s="8" t="str">
        <f t="array" ref="F7">INDEX(Caravana!$A$4:$A$100,RANDBETWEEN(1,$B$1),1)</f>
        <v>Huerto 2</v>
      </c>
      <c r="G7" s="9">
        <v>34.0</v>
      </c>
      <c r="H7" s="7" t="str">
        <f t="array" ref="H7">INDEX(Caravana!$A$4:$A$100,RANDBETWEEN(1,$B$1),1)</f>
        <v>Viajeros 2</v>
      </c>
    </row>
    <row r="8">
      <c r="B8" s="8"/>
      <c r="E8" s="6">
        <v>7.0</v>
      </c>
      <c r="F8" s="8" t="str">
        <f t="array" ref="F8">INDEX(Caravana!$A$4:$A$100,RANDBETWEEN(1,$B$1),1)</f>
        <v>Viajeros 1</v>
      </c>
      <c r="G8" s="9">
        <v>35.0</v>
      </c>
      <c r="H8" s="7" t="str">
        <f t="array" ref="H8">INDEX(Caravana!$A$4:$A$100,RANDBETWEEN(1,$B$1),1)</f>
        <v>Viajeros 3</v>
      </c>
    </row>
    <row r="9">
      <c r="B9" s="8"/>
      <c r="E9" s="6">
        <v>8.0</v>
      </c>
      <c r="F9" s="8" t="str">
        <f t="array" ref="F9">INDEX(Caravana!$A$4:$A$100,RANDBETWEEN(1,$B$1),1)</f>
        <v>Taller</v>
      </c>
      <c r="G9" s="9">
        <v>36.0</v>
      </c>
      <c r="H9" s="7" t="str">
        <f t="array" ref="H9">INDEX(Caravana!$A$4:$A$100,RANDBETWEEN(1,$B$1),1)</f>
        <v>Suministros 2</v>
      </c>
    </row>
    <row r="10">
      <c r="E10" s="6">
        <v>9.0</v>
      </c>
      <c r="F10" s="8" t="str">
        <f t="array" ref="F10">INDEX(Caravana!$A$4:$A$100,RANDBETWEEN(1,$B$1),1)</f>
        <v>Prisioneros</v>
      </c>
      <c r="G10" s="9">
        <v>37.0</v>
      </c>
      <c r="H10" s="7" t="str">
        <f t="array" ref="H10">INDEX(Caravana!$A$4:$A$100,RANDBETWEEN(1,$B$1),1)</f>
        <v>Suministros 1</v>
      </c>
    </row>
    <row r="11">
      <c r="E11" s="6">
        <v>10.0</v>
      </c>
      <c r="F11" s="8" t="str">
        <f t="array" ref="F11">INDEX(Caravana!$A$4:$A$100,RANDBETWEEN(1,$B$1),1)</f>
        <v>Viajeros 4</v>
      </c>
      <c r="G11" s="9">
        <v>38.0</v>
      </c>
      <c r="H11" s="7" t="str">
        <f t="array" ref="H11">INDEX(Caravana!$A$4:$A$100,RANDBETWEEN(1,$B$1),1)</f>
        <v>Viajeros 4</v>
      </c>
    </row>
    <row r="12">
      <c r="E12" s="6">
        <v>11.0</v>
      </c>
      <c r="F12" s="8" t="str">
        <f t="array" ref="F12">INDEX(Caravana!$A$4:$A$100,RANDBETWEEN(1,$B$1),1)</f>
        <v>Suministros 2</v>
      </c>
      <c r="G12" s="9">
        <v>39.0</v>
      </c>
      <c r="H12" s="7" t="str">
        <f t="array" ref="H12">INDEX(Caravana!$A$4:$A$100,RANDBETWEEN(1,$B$1),1)</f>
        <v>Viajeros 3</v>
      </c>
    </row>
    <row r="13">
      <c r="E13" s="6">
        <v>12.0</v>
      </c>
      <c r="F13" s="8" t="str">
        <f t="array" ref="F13">INDEX(Caravana!$A$4:$A$100,RANDBETWEEN(1,$B$1),1)</f>
        <v>Mercancías Hierro</v>
      </c>
      <c r="G13" s="9">
        <v>40.0</v>
      </c>
      <c r="H13" s="7" t="str">
        <f t="array" ref="H13">INDEX(Caravana!$A$4:$A$100,RANDBETWEEN(1,$B$1),1)</f>
        <v>Familias Kalsgard</v>
      </c>
    </row>
    <row r="14">
      <c r="E14" s="6">
        <v>13.0</v>
      </c>
      <c r="F14" s="8" t="str">
        <f t="array" ref="F14">INDEX(Caravana!$A$4:$A$100,RANDBETWEEN(1,$B$1),1)</f>
        <v>Bar sin límites</v>
      </c>
      <c r="G14" s="9">
        <v>41.0</v>
      </c>
      <c r="H14" s="7" t="str">
        <f t="array" ref="H14">INDEX(Caravana!$A$4:$A$100,RANDBETWEEN(1,$B$1),1)</f>
        <v>Viajeros grande</v>
      </c>
    </row>
    <row r="15">
      <c r="B15" s="8"/>
      <c r="E15" s="6">
        <v>14.0</v>
      </c>
      <c r="F15" s="8" t="str">
        <f t="array" ref="F15">INDEX(Caravana!$A$4:$A$100,RANDBETWEEN(1,$B$1),1)</f>
        <v>Bar sin límites</v>
      </c>
      <c r="G15" s="9">
        <v>42.0</v>
      </c>
      <c r="H15" s="7" t="str">
        <f t="array" ref="H15">INDEX(Caravana!$A$4:$A$100,RANDBETWEEN(1,$B$1),1)</f>
        <v>Viajeros 5</v>
      </c>
    </row>
    <row r="16">
      <c r="B16" s="8"/>
      <c r="E16" s="6">
        <v>15.0</v>
      </c>
      <c r="F16" s="8" t="str">
        <f t="array" ref="F16">INDEX(Caravana!$A$4:$A$100,RANDBETWEEN(1,$B$1),1)</f>
        <v>Huerto 1</v>
      </c>
      <c r="G16" s="9">
        <v>43.0</v>
      </c>
      <c r="H16" s="7" t="str">
        <f t="array" ref="H16">INDEX(Caravana!$A$4:$A$100,RANDBETWEEN(1,$B$1),1)</f>
        <v>Koya</v>
      </c>
    </row>
    <row r="17">
      <c r="B17" s="8"/>
      <c r="E17" s="6">
        <v>16.0</v>
      </c>
      <c r="F17" s="8" t="str">
        <f t="array" ref="F17">INDEX(Caravana!$A$4:$A$100,RANDBETWEEN(1,$B$1),1)</f>
        <v>Koya</v>
      </c>
      <c r="G17" s="9">
        <v>44.0</v>
      </c>
      <c r="H17" s="7" t="str">
        <f t="array" ref="H17">INDEX(Caravana!$A$4:$A$100,RANDBETWEEN(1,$B$1),1)</f>
        <v>Viajeros 2</v>
      </c>
    </row>
    <row r="18">
      <c r="B18" s="8"/>
      <c r="E18" s="6">
        <v>17.0</v>
      </c>
      <c r="F18" s="8" t="str">
        <f t="array" ref="F18">INDEX(Caravana!$A$4:$A$100,RANDBETWEEN(1,$B$1),1)</f>
        <v>Cómodo 2</v>
      </c>
      <c r="G18" s="9">
        <v>45.0</v>
      </c>
      <c r="H18" s="7" t="str">
        <f t="array" ref="H18">INDEX(Caravana!$A$4:$A$100,RANDBETWEEN(1,$B$1),1)</f>
        <v>Viajeros 4</v>
      </c>
    </row>
    <row r="19">
      <c r="B19" s="8"/>
      <c r="E19" s="6">
        <v>18.0</v>
      </c>
      <c r="F19" s="8" t="str">
        <f t="array" ref="F19">INDEX(Caravana!$A$4:$A$100,RANDBETWEEN(1,$B$1),1)</f>
        <v>Huerto 1</v>
      </c>
      <c r="G19" s="9">
        <v>46.0</v>
      </c>
      <c r="H19" s="7" t="str">
        <f t="array" ref="H19">INDEX(Caravana!$A$4:$A$100,RANDBETWEEN(1,$B$1),1)</f>
        <v>Mercancías Hierro</v>
      </c>
    </row>
    <row r="20">
      <c r="B20" s="8"/>
      <c r="E20" s="6">
        <v>19.0</v>
      </c>
      <c r="F20" s="8" t="str">
        <f t="array" ref="F20">INDEX(Caravana!$A$4:$A$100,RANDBETWEEN(1,$B$1),1)</f>
        <v>Suministros 2</v>
      </c>
      <c r="G20" s="9">
        <v>47.0</v>
      </c>
      <c r="H20" s="7" t="str">
        <f t="array" ref="H20">INDEX(Caravana!$A$4:$A$100,RANDBETWEEN(1,$B$1),1)</f>
        <v>Huerto 2</v>
      </c>
    </row>
    <row r="21">
      <c r="B21" s="8"/>
      <c r="E21" s="6">
        <v>20.0</v>
      </c>
      <c r="F21" s="8" t="str">
        <f t="array" ref="F21">INDEX(Caravana!$A$4:$A$100,RANDBETWEEN(1,$B$1),1)</f>
        <v>Mercancías Kalsgard</v>
      </c>
      <c r="G21" s="9">
        <v>48.0</v>
      </c>
      <c r="H21" s="7" t="str">
        <f t="array" ref="H21">INDEX(Caravana!$A$4:$A$100,RANDBETWEEN(1,$B$1),1)</f>
        <v>Familias Kalsgard</v>
      </c>
    </row>
    <row r="22">
      <c r="B22" s="8"/>
      <c r="E22" s="6">
        <v>21.0</v>
      </c>
      <c r="F22" s="8" t="str">
        <f t="array" ref="F22">INDEX(Caravana!$A$4:$A$100,RANDBETWEEN(1,$B$1),1)</f>
        <v>Taller</v>
      </c>
      <c r="G22" s="9">
        <v>49.0</v>
      </c>
      <c r="H22" s="7" t="str">
        <f t="array" ref="H22">INDEX(Caravana!$A$4:$A$100,RANDBETWEEN(1,$B$1),1)</f>
        <v>Cómodo 2</v>
      </c>
    </row>
    <row r="23">
      <c r="B23" s="8"/>
      <c r="E23" s="6">
        <v>22.0</v>
      </c>
      <c r="F23" s="8" t="str">
        <f t="array" ref="F23">INDEX(Caravana!$A$4:$A$100,RANDBETWEEN(1,$B$1),1)</f>
        <v>Prisioneros</v>
      </c>
      <c r="G23" s="9">
        <v>50.0</v>
      </c>
      <c r="H23" s="7" t="str">
        <f t="array" ref="H23">INDEX(Caravana!$A$4:$A$100,RANDBETWEEN(1,$B$1),1)</f>
        <v>Escuela</v>
      </c>
    </row>
    <row r="24">
      <c r="B24" s="8"/>
      <c r="E24" s="6">
        <v>23.0</v>
      </c>
      <c r="F24" s="8" t="str">
        <f t="array" ref="F24">INDEX(Caravana!$A$4:$A$100,RANDBETWEEN(1,$B$1),1)</f>
        <v>Carbón</v>
      </c>
      <c r="G24" s="9">
        <v>51.0</v>
      </c>
      <c r="H24" s="7" t="str">
        <f t="array" ref="H24">INDEX(Caravana!$A$4:$A$100,RANDBETWEEN(1,$B$1),1)</f>
        <v>Prisioneros</v>
      </c>
    </row>
    <row r="25">
      <c r="B25" s="8"/>
      <c r="E25" s="6">
        <v>24.0</v>
      </c>
      <c r="F25" s="8" t="str">
        <f t="array" ref="F25">INDEX(Caravana!$A$4:$A$100,RANDBETWEEN(1,$B$1),1)</f>
        <v>Viajeros grande</v>
      </c>
      <c r="G25" s="9">
        <v>52.0</v>
      </c>
      <c r="H25" s="7" t="str">
        <f t="array" ref="H25">INDEX(Caravana!$A$4:$A$100,RANDBETWEEN(1,$B$1),1)</f>
        <v>Bar sin límites</v>
      </c>
    </row>
    <row r="26">
      <c r="B26" s="8"/>
      <c r="E26" s="6">
        <v>25.0</v>
      </c>
      <c r="F26" s="8" t="str">
        <f t="array" ref="F26">INDEX(Caravana!$A$4:$A$100,RANDBETWEEN(1,$B$1),1)</f>
        <v>Mercancías Hierro</v>
      </c>
      <c r="G26" s="9">
        <v>53.0</v>
      </c>
      <c r="H26" s="7" t="str">
        <f t="array" ref="H26">INDEX(Caravana!$A$4:$A$100,RANDBETWEEN(1,$B$1),1)</f>
        <v>Suministros 2</v>
      </c>
    </row>
    <row r="27">
      <c r="B27" s="8"/>
      <c r="E27" s="6">
        <v>26.0</v>
      </c>
      <c r="F27" s="8" t="str">
        <f t="array" ref="F27">INDEX(Caravana!$A$4:$A$100,RANDBETWEEN(1,$B$1),1)</f>
        <v>Viajeros 4</v>
      </c>
      <c r="G27" s="9">
        <v>54.0</v>
      </c>
      <c r="H27" s="7" t="str">
        <f t="array" ref="H27">INDEX(Caravana!$A$4:$A$100,RANDBETWEEN(1,$B$1),1)</f>
        <v>Mercancías Punta Arena</v>
      </c>
    </row>
    <row r="28">
      <c r="B28" s="8"/>
      <c r="E28" s="6">
        <v>27.0</v>
      </c>
      <c r="F28" s="8" t="str">
        <f t="array" ref="F28">INDEX(Caravana!$A$4:$A$100,RANDBETWEEN(1,$B$1),1)</f>
        <v>Mercancías Punta Arena</v>
      </c>
      <c r="G28" s="9">
        <v>55.0</v>
      </c>
      <c r="H28" s="7" t="str">
        <f t="array" ref="H28">INDEX(Caravana!$A$4:$A$100,RANDBETWEEN(1,$B$1),1)</f>
        <v>Huerto 1</v>
      </c>
    </row>
    <row r="29">
      <c r="B29" s="8"/>
      <c r="E29" s="11">
        <v>28.0</v>
      </c>
      <c r="F29" s="13" t="str">
        <f t="array" ref="F29">INDEX(Caravana!$A$4:$A$100,RANDBETWEEN(1,$B$1),1)</f>
        <v>Viajeros 3</v>
      </c>
      <c r="G29" s="14">
        <v>56.0</v>
      </c>
      <c r="H29" s="12" t="str">
        <f t="array" ref="H29">INDEX(Caravana!$A$4:$A$100,RANDBETWEEN(1,$B$1),1)</f>
        <v>Suministros 1</v>
      </c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  <row r="1001">
      <c r="B1001" s="8"/>
    </row>
  </sheetData>
  <mergeCells count="1">
    <mergeCell ref="E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12" max="12" width="36.75"/>
  </cols>
  <sheetData>
    <row r="1">
      <c r="A1" s="15" t="s">
        <v>7</v>
      </c>
      <c r="C1" s="15" t="s">
        <v>8</v>
      </c>
      <c r="F1" s="15" t="s">
        <v>9</v>
      </c>
      <c r="G1" s="15" t="s">
        <v>2</v>
      </c>
      <c r="H1" s="15" t="s">
        <v>10</v>
      </c>
      <c r="J1" s="15" t="s">
        <v>11</v>
      </c>
      <c r="L1" s="15" t="s">
        <v>12</v>
      </c>
    </row>
    <row r="2">
      <c r="C2" s="15" t="s">
        <v>13</v>
      </c>
      <c r="E2" s="15" t="s">
        <v>14</v>
      </c>
    </row>
    <row r="3">
      <c r="A3" s="15" t="s">
        <v>15</v>
      </c>
      <c r="B3" s="15" t="s">
        <v>16</v>
      </c>
      <c r="C3" s="15" t="s">
        <v>17</v>
      </c>
      <c r="D3" s="15" t="s">
        <v>18</v>
      </c>
      <c r="H3" s="15" t="s">
        <v>19</v>
      </c>
      <c r="I3" s="15" t="s">
        <v>18</v>
      </c>
      <c r="J3" s="15" t="s">
        <v>19</v>
      </c>
      <c r="K3" s="15" t="s">
        <v>18</v>
      </c>
    </row>
    <row r="4">
      <c r="A4" s="16" t="str">
        <f>Carros!A4</f>
        <v>Viajeros 1</v>
      </c>
      <c r="B4" s="16" t="str">
        <f>Carros!B4</f>
        <v>Carro de viajeros</v>
      </c>
      <c r="C4" s="9">
        <v>0.0</v>
      </c>
      <c r="D4" s="17">
        <f>Carros!D4</f>
        <v>60</v>
      </c>
      <c r="E4" s="17">
        <f>Carros!G4</f>
        <v>5</v>
      </c>
      <c r="F4" s="17" t="str">
        <f>Tiro!D2</f>
        <v>SUPERA</v>
      </c>
      <c r="G4" s="17">
        <f>Carros!P4+Hospedaje!D2</f>
        <v>10</v>
      </c>
      <c r="H4" s="17">
        <f>Hospedaje!C2</f>
        <v>8</v>
      </c>
      <c r="I4" s="17">
        <f>Hospedaje!B2</f>
        <v>8</v>
      </c>
      <c r="J4" s="17">
        <f>Carga!C2</f>
        <v>4</v>
      </c>
      <c r="K4" s="17">
        <f>Carga!B2</f>
        <v>5</v>
      </c>
      <c r="L4" s="17" t="str">
        <f>IFERROR(VLOOKUP(B4,'Lista Carros'!$A$3:$K$26,11,False),"")</f>
        <v>Otorga +1 CA a la caravana</v>
      </c>
    </row>
    <row r="5">
      <c r="A5" s="16" t="str">
        <f>Carros!A5</f>
        <v>Viajeros 2</v>
      </c>
      <c r="B5" s="16" t="str">
        <f>Carros!B5</f>
        <v>Carro de viajeros</v>
      </c>
      <c r="C5" s="9">
        <v>0.0</v>
      </c>
      <c r="D5" s="17">
        <f>Carros!D5</f>
        <v>60</v>
      </c>
      <c r="E5" s="17">
        <f>Carros!G5</f>
        <v>5</v>
      </c>
      <c r="F5" s="17" t="str">
        <f>Tiro!D3</f>
        <v>SUPERA</v>
      </c>
      <c r="G5" s="17">
        <f>Carros!P5+Hospedaje!D3</f>
        <v>9</v>
      </c>
      <c r="H5" s="17">
        <f>Hospedaje!C3</f>
        <v>7</v>
      </c>
      <c r="I5" s="17">
        <f>Hospedaje!B3</f>
        <v>8</v>
      </c>
      <c r="J5" s="17">
        <f>Carga!C3</f>
        <v>3</v>
      </c>
      <c r="K5" s="17">
        <f>Carga!B3</f>
        <v>5</v>
      </c>
      <c r="L5" s="17" t="str">
        <f>IFERROR(VLOOKUP(B5,'Lista Carros'!$A$3:$K$26,11,False),"")</f>
        <v>Otorga +1 CA a la caravana</v>
      </c>
    </row>
    <row r="6">
      <c r="A6" s="16" t="str">
        <f>Carros!A6</f>
        <v>Viajeros 3</v>
      </c>
      <c r="B6" s="16" t="str">
        <f>Carros!B6</f>
        <v>Carro de viajeros</v>
      </c>
      <c r="C6" s="9">
        <v>0.0</v>
      </c>
      <c r="D6" s="17">
        <f>Carros!D6</f>
        <v>60</v>
      </c>
      <c r="E6" s="17">
        <f>Carros!G6</f>
        <v>5</v>
      </c>
      <c r="F6" s="17" t="str">
        <f>Tiro!D4</f>
        <v>SUPERA</v>
      </c>
      <c r="G6" s="17">
        <f>Carros!P6+Hospedaje!D4</f>
        <v>9</v>
      </c>
      <c r="H6" s="17">
        <f>Hospedaje!C4</f>
        <v>7</v>
      </c>
      <c r="I6" s="17">
        <f>Hospedaje!B4</f>
        <v>8</v>
      </c>
      <c r="J6" s="17">
        <f>Carga!C4</f>
        <v>3</v>
      </c>
      <c r="K6" s="17">
        <f>Carga!B4</f>
        <v>5</v>
      </c>
      <c r="L6" s="17" t="str">
        <f>IFERROR(VLOOKUP(B6,'Lista Carros'!$A$3:$K$26,11,False),"")</f>
        <v>Otorga +1 CA a la caravana</v>
      </c>
    </row>
    <row r="7">
      <c r="A7" s="16" t="str">
        <f>Carros!A7</f>
        <v>Viajeros 4</v>
      </c>
      <c r="B7" s="16" t="str">
        <f>Carros!B7</f>
        <v>Carro de viajeros</v>
      </c>
      <c r="C7" s="9">
        <v>0.0</v>
      </c>
      <c r="D7" s="17">
        <f>Carros!D7</f>
        <v>60</v>
      </c>
      <c r="E7" s="17">
        <f>Carros!G7</f>
        <v>5</v>
      </c>
      <c r="F7" s="17" t="str">
        <f>Tiro!D5</f>
        <v>SUPERA</v>
      </c>
      <c r="G7" s="17">
        <f>Carros!P7+Hospedaje!D5</f>
        <v>9</v>
      </c>
      <c r="H7" s="17">
        <f>Hospedaje!C5</f>
        <v>7</v>
      </c>
      <c r="I7" s="17">
        <f>Hospedaje!B5</f>
        <v>8</v>
      </c>
      <c r="J7" s="17">
        <f>Carga!C5</f>
        <v>4</v>
      </c>
      <c r="K7" s="17">
        <f>Carga!B5</f>
        <v>5</v>
      </c>
      <c r="L7" s="17" t="str">
        <f>IFERROR(VLOOKUP(B7,'Lista Carros'!$A$3:$K$26,11,False),"")</f>
        <v>Otorga +1 CA a la caravana</v>
      </c>
    </row>
    <row r="8">
      <c r="A8" s="16" t="str">
        <f>Carros!A8</f>
        <v>Viajeros 5</v>
      </c>
      <c r="B8" s="16" t="str">
        <f>Carros!B8</f>
        <v>Carro de viajeros</v>
      </c>
      <c r="C8" s="9">
        <v>0.0</v>
      </c>
      <c r="D8" s="17">
        <f>Carros!D8</f>
        <v>60</v>
      </c>
      <c r="E8" s="17">
        <f>Carros!G8</f>
        <v>5</v>
      </c>
      <c r="F8" s="17" t="str">
        <f>Tiro!D6</f>
        <v>SUPERA</v>
      </c>
      <c r="G8" s="17">
        <f>Carros!P8+Hospedaje!D6</f>
        <v>8</v>
      </c>
      <c r="H8" s="17">
        <f>Hospedaje!C6</f>
        <v>6</v>
      </c>
      <c r="I8" s="17">
        <f>Hospedaje!B6</f>
        <v>8</v>
      </c>
      <c r="J8" s="17">
        <f>Carga!C6</f>
        <v>4</v>
      </c>
      <c r="K8" s="17">
        <f>Carga!B6</f>
        <v>5</v>
      </c>
      <c r="L8" s="17" t="str">
        <f>IFERROR(VLOOKUP(B8,'Lista Carros'!$A$3:$K$26,11,False),"")</f>
        <v>Otorga +1 CA a la caravana</v>
      </c>
    </row>
    <row r="9">
      <c r="A9" s="16" t="str">
        <f>Carros!A9</f>
        <v>Prisioneros</v>
      </c>
      <c r="B9" s="16" t="str">
        <f>Carros!B9</f>
        <v>Carro de prisioneros</v>
      </c>
      <c r="C9" s="9">
        <v>9.0</v>
      </c>
      <c r="D9" s="17">
        <f>Carros!D9</f>
        <v>60</v>
      </c>
      <c r="E9" s="17">
        <f>Carros!G9</f>
        <v>5</v>
      </c>
      <c r="F9" s="17" t="str">
        <f>Tiro!D7</f>
        <v>SUPERA</v>
      </c>
      <c r="G9" s="17">
        <f>Carros!P9+Hospedaje!D7</f>
        <v>2</v>
      </c>
      <c r="H9" s="17">
        <f>Hospedaje!C7</f>
        <v>0</v>
      </c>
      <c r="I9" s="17">
        <f>Hospedaje!B7</f>
        <v>10</v>
      </c>
      <c r="J9" s="17">
        <f>Carga!C7</f>
        <v>0</v>
      </c>
      <c r="K9" s="17">
        <f>Carga!B7</f>
        <v>2</v>
      </c>
      <c r="L9" s="17" t="str">
        <f>IFERROR(VLOOKUP(B9,'Lista Carros'!$A$3:$K$26,11,False),"")</f>
        <v>Otorga +2 a la Seguridad de la caravana</v>
      </c>
    </row>
    <row r="10">
      <c r="A10" s="16" t="str">
        <f>Carros!A10</f>
        <v>Zoo</v>
      </c>
      <c r="B10" s="16" t="str">
        <f>Carros!B10</f>
        <v>Carro zoológico</v>
      </c>
      <c r="C10" s="9">
        <v>0.0</v>
      </c>
      <c r="D10" s="17">
        <f>Carros!D10</f>
        <v>60</v>
      </c>
      <c r="E10" s="17">
        <f>Carros!G10</f>
        <v>5</v>
      </c>
      <c r="F10" s="17" t="str">
        <f>Tiro!D8</f>
        <v>SUPERA</v>
      </c>
      <c r="G10" s="17">
        <f>Carros!P10+Hospedaje!D8</f>
        <v>3</v>
      </c>
      <c r="H10" s="17">
        <f>Hospedaje!C8</f>
        <v>8.5</v>
      </c>
      <c r="I10" s="17">
        <f>Hospedaje!B8</f>
        <v>10</v>
      </c>
      <c r="J10" s="17">
        <f>Carga!C8</f>
        <v>0</v>
      </c>
      <c r="K10" s="17">
        <f>Carga!B8</f>
        <v>2</v>
      </c>
      <c r="L10" s="17" t="str">
        <f>IFERROR(VLOOKUP(B10,'Lista Carros'!$A$3:$K$26,11,False),"")</f>
        <v>No puede llevar humanoides</v>
      </c>
    </row>
    <row r="11">
      <c r="A11" s="16" t="str">
        <f>Carros!A11</f>
        <v>Familias Kalsgard</v>
      </c>
      <c r="B11" s="16" t="str">
        <f>Carros!B11</f>
        <v>Carruaje familiar</v>
      </c>
      <c r="C11" s="9">
        <v>0.0</v>
      </c>
      <c r="D11" s="17">
        <f>Carros!D11</f>
        <v>60</v>
      </c>
      <c r="E11" s="17">
        <f>Carros!G11</f>
        <v>5</v>
      </c>
      <c r="F11" s="17" t="str">
        <f>Tiro!D9</f>
        <v>SUPERA</v>
      </c>
      <c r="G11" s="17">
        <f>Carros!P11+Hospedaje!D9</f>
        <v>10</v>
      </c>
      <c r="H11" s="17">
        <f>Hospedaje!C9</f>
        <v>6.5</v>
      </c>
      <c r="I11" s="17">
        <f>Hospedaje!B9</f>
        <v>6</v>
      </c>
      <c r="J11" s="17">
        <f>Carga!C9</f>
        <v>0</v>
      </c>
      <c r="K11" s="17">
        <f>Carga!B9</f>
        <v>5</v>
      </c>
      <c r="L11" s="17" t="str">
        <f>IFERROR(VLOOKUP(B11,'Lista Carros'!$A$3:$K$26,11,False),"")</f>
        <v>Criaturas pequeñas cuentan como ½</v>
      </c>
    </row>
    <row r="12">
      <c r="A12" s="16" t="str">
        <f>Carros!A12</f>
        <v>Mercancías Hierro</v>
      </c>
      <c r="B12" s="16" t="str">
        <f>Carros!B12</f>
        <v>Carro de mercancías</v>
      </c>
      <c r="C12" s="9">
        <v>0.0</v>
      </c>
      <c r="D12" s="17">
        <f>Carros!D12</f>
        <v>60</v>
      </c>
      <c r="E12" s="17">
        <f>Carros!G12</f>
        <v>5</v>
      </c>
      <c r="F12" s="17" t="str">
        <f>Tiro!D10</f>
        <v>SUPERA</v>
      </c>
      <c r="G12" s="17">
        <f>Carros!P12+Hospedaje!D10</f>
        <v>1</v>
      </c>
      <c r="H12" s="17">
        <f>Hospedaje!C10</f>
        <v>0</v>
      </c>
      <c r="I12" s="17">
        <f>Hospedaje!B10</f>
        <v>1</v>
      </c>
      <c r="J12" s="17">
        <f>Carga!C10</f>
        <v>12</v>
      </c>
      <c r="K12" s="17">
        <f>Carga!B10</f>
        <v>13</v>
      </c>
      <c r="L12" s="17" t="str">
        <f>IFERROR(VLOOKUP(B12,'Lista Carros'!$A$3:$K$26,11,False),"")</f>
        <v/>
      </c>
    </row>
    <row r="13">
      <c r="A13" s="16" t="str">
        <f>Carros!A13</f>
        <v>Mercancías General</v>
      </c>
      <c r="B13" s="16" t="str">
        <f>Carros!B13</f>
        <v>Carro de mercancías</v>
      </c>
      <c r="C13" s="9">
        <v>3.0</v>
      </c>
      <c r="D13" s="17">
        <f>Carros!D13</f>
        <v>60</v>
      </c>
      <c r="E13" s="17">
        <f>Carros!G13</f>
        <v>5</v>
      </c>
      <c r="F13" s="17" t="str">
        <f>Tiro!D11</f>
        <v>SUPERA</v>
      </c>
      <c r="G13" s="17">
        <f>Carros!P13+Hospedaje!D11</f>
        <v>1</v>
      </c>
      <c r="H13" s="17">
        <f>Hospedaje!C11</f>
        <v>0</v>
      </c>
      <c r="I13" s="17">
        <f>Hospedaje!B11</f>
        <v>1</v>
      </c>
      <c r="J13" s="17">
        <f>Carga!C11</f>
        <v>13</v>
      </c>
      <c r="K13" s="17">
        <f>Carga!B11</f>
        <v>13</v>
      </c>
      <c r="L13" s="17" t="str">
        <f>IFERROR(VLOOKUP(B13,'Lista Carros'!$A$3:$K$26,11,False),"")</f>
        <v/>
      </c>
    </row>
    <row r="14">
      <c r="A14" s="16" t="str">
        <f>Carros!A14</f>
        <v>Mercancías Punta Arena</v>
      </c>
      <c r="B14" s="16" t="str">
        <f>Carros!B14</f>
        <v>Carro de mercancías</v>
      </c>
      <c r="C14" s="9">
        <v>1.0</v>
      </c>
      <c r="D14" s="17">
        <f>Carros!D14</f>
        <v>60</v>
      </c>
      <c r="E14" s="17">
        <f>Carros!G14</f>
        <v>5</v>
      </c>
      <c r="F14" s="17" t="str">
        <f>Tiro!D12</f>
        <v>SUPERA</v>
      </c>
      <c r="G14" s="17">
        <f>Carros!P14+Hospedaje!D12</f>
        <v>1</v>
      </c>
      <c r="H14" s="17">
        <f>Hospedaje!C12</f>
        <v>0</v>
      </c>
      <c r="I14" s="17">
        <f>Hospedaje!B12</f>
        <v>1</v>
      </c>
      <c r="J14" s="17">
        <f>Carga!C12</f>
        <v>13</v>
      </c>
      <c r="K14" s="17">
        <f>Carga!B12</f>
        <v>13</v>
      </c>
      <c r="L14" s="17" t="str">
        <f>IFERROR(VLOOKUP(B14,'Lista Carros'!$A$3:$K$26,11,False),"")</f>
        <v/>
      </c>
    </row>
    <row r="15">
      <c r="A15" s="16" t="str">
        <f>Carros!A15</f>
        <v>Mercancías Kalsgard</v>
      </c>
      <c r="B15" s="16" t="str">
        <f>Carros!B15</f>
        <v>Carro de mercancías específicas</v>
      </c>
      <c r="C15" s="9">
        <v>0.0</v>
      </c>
      <c r="D15" s="17">
        <f>Carros!D15</f>
        <v>60</v>
      </c>
      <c r="E15" s="17">
        <f>Carros!G15</f>
        <v>5</v>
      </c>
      <c r="F15" s="17" t="str">
        <f>Tiro!D13</f>
        <v>SUPERA</v>
      </c>
      <c r="G15" s="17">
        <f>Carros!P15+Hospedaje!D13</f>
        <v>1</v>
      </c>
      <c r="H15" s="17">
        <f>Hospedaje!C13</f>
        <v>0</v>
      </c>
      <c r="I15" s="17">
        <f>Hospedaje!B13</f>
        <v>1</v>
      </c>
      <c r="J15" s="17">
        <f>Carga!C13</f>
        <v>26</v>
      </c>
      <c r="K15" s="17">
        <f>Carga!B13</f>
        <v>26</v>
      </c>
      <c r="L15" s="17" t="str">
        <f>IFERROR(VLOOKUP(B15,'Lista Carros'!$A$3:$K$26,11,False),"")</f>
        <v>Solo 1 tipo de mercancía específica</v>
      </c>
    </row>
    <row r="16">
      <c r="A16" s="16" t="str">
        <f>Carros!A16</f>
        <v>Carbón</v>
      </c>
      <c r="B16" s="16" t="str">
        <f>Carros!B16</f>
        <v>Carro de mercancías específicas</v>
      </c>
      <c r="C16" s="9">
        <v>0.0</v>
      </c>
      <c r="D16" s="17">
        <f>Carros!D16</f>
        <v>60</v>
      </c>
      <c r="E16" s="17">
        <f>Carros!G16</f>
        <v>5</v>
      </c>
      <c r="F16" s="17" t="str">
        <f>Tiro!D14</f>
        <v>SUPERA</v>
      </c>
      <c r="G16" s="17">
        <f>Carros!P16+Hospedaje!D14</f>
        <v>1</v>
      </c>
      <c r="H16" s="17">
        <f>Hospedaje!C14</f>
        <v>0</v>
      </c>
      <c r="I16" s="17">
        <f>Hospedaje!B14</f>
        <v>1</v>
      </c>
      <c r="J16" s="17">
        <f>Carga!C14</f>
        <v>26</v>
      </c>
      <c r="K16" s="17">
        <f>Carga!B14</f>
        <v>26</v>
      </c>
      <c r="L16" s="17" t="str">
        <f>IFERROR(VLOOKUP(B16,'Lista Carros'!$A$3:$K$26,11,False),"")</f>
        <v>Solo 1 tipo de mercancía específica</v>
      </c>
    </row>
    <row r="17">
      <c r="A17" s="16" t="str">
        <f>Carros!A17</f>
        <v>Queso</v>
      </c>
      <c r="B17" s="16" t="str">
        <f>Carros!B17</f>
        <v>Carro de mercancías específicas</v>
      </c>
      <c r="C17" s="9">
        <v>4.0</v>
      </c>
      <c r="D17" s="17">
        <f>Carros!D17</f>
        <v>60</v>
      </c>
      <c r="E17" s="17">
        <f>Carros!G17</f>
        <v>5</v>
      </c>
      <c r="F17" s="17" t="str">
        <f>Tiro!D15</f>
        <v>SUPERA</v>
      </c>
      <c r="G17" s="17">
        <f>Carros!P17+Hospedaje!D15</f>
        <v>2</v>
      </c>
      <c r="H17" s="17">
        <f>Hospedaje!C15</f>
        <v>1</v>
      </c>
      <c r="I17" s="17">
        <f>Hospedaje!B15</f>
        <v>1</v>
      </c>
      <c r="J17" s="17">
        <f>Carga!C15</f>
        <v>20</v>
      </c>
      <c r="K17" s="17">
        <f>Carga!B15</f>
        <v>26</v>
      </c>
      <c r="L17" s="17" t="str">
        <f>IFERROR(VLOOKUP(B17,'Lista Carros'!$A$3:$K$26,11,False),"")</f>
        <v>Solo 1 tipo de mercancía específica</v>
      </c>
    </row>
    <row r="18">
      <c r="A18" s="16" t="str">
        <f>Carros!A18</f>
        <v>Suministros 1</v>
      </c>
      <c r="B18" s="16" t="str">
        <f>Carros!B18</f>
        <v>Carro de suministros</v>
      </c>
      <c r="C18" s="9">
        <v>25.0</v>
      </c>
      <c r="D18" s="17">
        <f>Carros!D18</f>
        <v>60</v>
      </c>
      <c r="E18" s="17">
        <f>Carros!G18</f>
        <v>5</v>
      </c>
      <c r="F18" s="17" t="str">
        <f>Tiro!D16</f>
        <v>SUPERA</v>
      </c>
      <c r="G18" s="17">
        <f>Carros!P18+Hospedaje!D16</f>
        <v>1</v>
      </c>
      <c r="H18" s="17">
        <f>Hospedaje!C16</f>
        <v>0</v>
      </c>
      <c r="I18" s="17">
        <f>Hospedaje!B16</f>
        <v>1</v>
      </c>
      <c r="J18" s="17">
        <f>Carga!C16</f>
        <v>4</v>
      </c>
      <c r="K18" s="17">
        <f>Carga!B16</f>
        <v>26</v>
      </c>
      <c r="L18" s="17" t="str">
        <f>IFERROR(VLOOKUP(B18,'Lista Carros'!$A$3:$K$26,11,False),"")</f>
        <v>Solo suministros y perecederos</v>
      </c>
    </row>
    <row r="19">
      <c r="A19" s="16" t="str">
        <f>Carros!A19</f>
        <v>Suministros 2</v>
      </c>
      <c r="B19" s="16" t="str">
        <f>Carros!B19</f>
        <v>Carro de suministros</v>
      </c>
      <c r="C19" s="9">
        <v>0.0</v>
      </c>
      <c r="D19" s="17">
        <f>Carros!D19</f>
        <v>60</v>
      </c>
      <c r="E19" s="17">
        <f>Carros!G19</f>
        <v>5</v>
      </c>
      <c r="F19" s="17" t="str">
        <f>Tiro!D17</f>
        <v>SUPERA</v>
      </c>
      <c r="G19" s="17">
        <f>Carros!P19+Hospedaje!D17</f>
        <v>1</v>
      </c>
      <c r="H19" s="17">
        <f>Hospedaje!C17</f>
        <v>0</v>
      </c>
      <c r="I19" s="17">
        <f>Hospedaje!B17</f>
        <v>1</v>
      </c>
      <c r="J19" s="17">
        <f>Carga!C17</f>
        <v>4</v>
      </c>
      <c r="K19" s="17">
        <f>Carga!B17</f>
        <v>26</v>
      </c>
      <c r="L19" s="17" t="str">
        <f>IFERROR(VLOOKUP(B19,'Lista Carros'!$A$3:$K$26,11,False),"")</f>
        <v>Solo suministros y perecederos</v>
      </c>
    </row>
    <row r="20">
      <c r="A20" s="16" t="str">
        <f>Carros!A20</f>
        <v>Koya</v>
      </c>
      <c r="B20" s="16" t="str">
        <f>Carros!B20</f>
        <v>Carro de adivino</v>
      </c>
      <c r="C20" s="9">
        <v>0.0</v>
      </c>
      <c r="D20" s="17">
        <f>Carros!D20</f>
        <v>60</v>
      </c>
      <c r="E20" s="17">
        <f>Carros!G20</f>
        <v>5</v>
      </c>
      <c r="F20" s="17" t="str">
        <f>Tiro!D18</f>
        <v>SUPERA</v>
      </c>
      <c r="G20" s="17">
        <f>Carros!P20+Hospedaje!D18</f>
        <v>2</v>
      </c>
      <c r="H20" s="17">
        <f>Hospedaje!C18</f>
        <v>1</v>
      </c>
      <c r="I20" s="17">
        <f>Hospedaje!B18</f>
        <v>1</v>
      </c>
      <c r="J20" s="17">
        <f>Carga!C18</f>
        <v>2</v>
      </c>
      <c r="K20" s="17">
        <f>Carga!B18</f>
        <v>5</v>
      </c>
      <c r="L20" s="17" t="str">
        <f>IFERROR(VLOOKUP(B20,'Lista Carros'!$A$3:$K$26,11,False),"")</f>
        <v>Habilita rol de Adivino</v>
      </c>
    </row>
    <row r="21">
      <c r="A21" s="16" t="str">
        <f>Carros!A21</f>
        <v>Taller</v>
      </c>
      <c r="B21" s="16" t="str">
        <f>Carros!B21</f>
        <v>Carro con taller</v>
      </c>
      <c r="C21" s="9">
        <v>0.0</v>
      </c>
      <c r="D21" s="17">
        <f>Carros!D21</f>
        <v>60</v>
      </c>
      <c r="E21" s="17">
        <f>Carros!G21</f>
        <v>5</v>
      </c>
      <c r="F21" s="17" t="str">
        <f>Tiro!D19</f>
        <v>SUPERA</v>
      </c>
      <c r="G21" s="17">
        <f>Carros!P21+Hospedaje!D19</f>
        <v>1</v>
      </c>
      <c r="H21" s="17">
        <f>Hospedaje!C19</f>
        <v>0</v>
      </c>
      <c r="I21" s="17">
        <f>Hospedaje!B19</f>
        <v>2</v>
      </c>
      <c r="J21" s="17">
        <f>Carga!C19</f>
        <v>5</v>
      </c>
      <c r="K21" s="17">
        <f>Carga!B19</f>
        <v>5</v>
      </c>
      <c r="L21" s="17" t="str">
        <f>IFERROR(VLOOKUP(B21,'Lista Carros'!$A$3:$K$26,11,False),"")</f>
        <v>Puede realizar Artesanía viajando</v>
      </c>
    </row>
    <row r="22">
      <c r="A22" s="16" t="str">
        <f>Carros!A22</f>
        <v>Escuela</v>
      </c>
      <c r="B22" s="16" t="str">
        <f>Carros!B22</f>
        <v>Carro escuela</v>
      </c>
      <c r="C22" s="9">
        <v>0.0</v>
      </c>
      <c r="D22" s="17">
        <f>Carros!D22</f>
        <v>60</v>
      </c>
      <c r="E22" s="17">
        <f>Carros!G22</f>
        <v>5</v>
      </c>
      <c r="F22" s="17" t="str">
        <f>Tiro!D20</f>
        <v>SUPERA</v>
      </c>
      <c r="G22" s="17">
        <f>Carros!P22+Hospedaje!D20</f>
        <v>3</v>
      </c>
      <c r="H22" s="17">
        <f>Hospedaje!C20</f>
        <v>1</v>
      </c>
      <c r="I22" s="17">
        <f>Hospedaje!B20</f>
        <v>2</v>
      </c>
      <c r="J22" s="17">
        <f>Carga!C20</f>
        <v>0</v>
      </c>
      <c r="K22" s="17">
        <f>Carga!B20</f>
        <v>5</v>
      </c>
      <c r="L22" s="17" t="str">
        <f>IFERROR(VLOOKUP(B22,'Lista Carros'!$A$3:$K$26,11,False),"")</f>
        <v>Puede enseñar (hasta 2 profesores)</v>
      </c>
    </row>
    <row r="23">
      <c r="A23" s="16" t="str">
        <f>Carros!A23</f>
        <v>Huerto Hagorsson</v>
      </c>
      <c r="B23" s="16" t="str">
        <f>Carros!B23</f>
        <v>Carro huerto</v>
      </c>
      <c r="C23" s="9">
        <v>11.0</v>
      </c>
      <c r="D23" s="17">
        <f>Carros!D23</f>
        <v>60</v>
      </c>
      <c r="E23" s="17">
        <f>Carros!G23</f>
        <v>5</v>
      </c>
      <c r="F23" s="17" t="str">
        <f>Tiro!D21</f>
        <v>SUPERA</v>
      </c>
      <c r="G23" s="17">
        <f>Carros!P23+Hospedaje!D21</f>
        <v>1</v>
      </c>
      <c r="H23" s="17">
        <f>Hospedaje!C21</f>
        <v>0</v>
      </c>
      <c r="I23" s="17">
        <f>Hospedaje!B21</f>
        <v>2</v>
      </c>
      <c r="J23" s="17">
        <f>Carga!C21</f>
        <v>0</v>
      </c>
      <c r="K23" s="17">
        <f>Carga!B21</f>
        <v>1</v>
      </c>
      <c r="L23" s="17" t="str">
        <f>IFERROR(VLOOKUP(B23,'Lista Carros'!$A$3:$K$26,11,False),"")</f>
        <v>Solo viajeros asignados pueden ser agricultores</v>
      </c>
    </row>
    <row r="24">
      <c r="A24" s="16" t="str">
        <f>Carros!A24</f>
        <v>Huerto 1</v>
      </c>
      <c r="B24" s="16" t="str">
        <f>Carros!B24</f>
        <v>Carro huerto</v>
      </c>
      <c r="C24" s="9">
        <v>0.0</v>
      </c>
      <c r="D24" s="17">
        <f>Carros!D24</f>
        <v>60</v>
      </c>
      <c r="E24" s="17">
        <f>Carros!G24</f>
        <v>5</v>
      </c>
      <c r="F24" s="17" t="str">
        <f>Tiro!D22</f>
        <v>SUPERA</v>
      </c>
      <c r="G24" s="17">
        <f>Carros!P24+Hospedaje!D22</f>
        <v>3</v>
      </c>
      <c r="H24" s="17">
        <f>Hospedaje!C22</f>
        <v>2</v>
      </c>
      <c r="I24" s="17">
        <f>Hospedaje!B22</f>
        <v>2</v>
      </c>
      <c r="J24" s="17">
        <f>Carga!C22</f>
        <v>0</v>
      </c>
      <c r="K24" s="17">
        <f>Carga!B22</f>
        <v>1</v>
      </c>
      <c r="L24" s="17" t="str">
        <f>IFERROR(VLOOKUP(B24,'Lista Carros'!$A$3:$K$26,11,False),"")</f>
        <v>Solo viajeros asignados pueden ser agricultores</v>
      </c>
    </row>
    <row r="25">
      <c r="A25" s="16" t="str">
        <f>Carros!A25</f>
        <v>Huerto 2</v>
      </c>
      <c r="B25" s="16" t="str">
        <f>Carros!B25</f>
        <v>Carro huerto</v>
      </c>
      <c r="C25" s="9">
        <v>4.0</v>
      </c>
      <c r="D25" s="17">
        <f>Carros!D25</f>
        <v>60</v>
      </c>
      <c r="E25" s="17">
        <f>Carros!G25</f>
        <v>5</v>
      </c>
      <c r="F25" s="17" t="str">
        <f>Tiro!D23</f>
        <v>SUPERA</v>
      </c>
      <c r="G25" s="17">
        <f>Carros!P25+Hospedaje!D23</f>
        <v>1</v>
      </c>
      <c r="H25" s="17">
        <f>Hospedaje!C23</f>
        <v>0</v>
      </c>
      <c r="I25" s="17">
        <f>Hospedaje!B23</f>
        <v>2</v>
      </c>
      <c r="J25" s="17">
        <f>Carga!C23</f>
        <v>0</v>
      </c>
      <c r="K25" s="17">
        <f>Carga!B23</f>
        <v>1</v>
      </c>
      <c r="L25" s="17" t="str">
        <f>IFERROR(VLOOKUP(B25,'Lista Carros'!$A$3:$K$26,11,False),"")</f>
        <v>Solo viajeros asignados pueden ser agricultores</v>
      </c>
    </row>
    <row r="26">
      <c r="A26" s="16" t="str">
        <f>Carros!A26</f>
        <v>Hospital</v>
      </c>
      <c r="B26" s="16" t="str">
        <f>Carros!B26</f>
        <v>Carro médico</v>
      </c>
      <c r="C26" s="9">
        <v>0.0</v>
      </c>
      <c r="D26" s="17">
        <f>Carros!D26</f>
        <v>40</v>
      </c>
      <c r="E26" s="17">
        <f>Carros!G26</f>
        <v>5</v>
      </c>
      <c r="F26" s="17" t="str">
        <f>Tiro!D24</f>
        <v>SUPERA</v>
      </c>
      <c r="G26" s="17">
        <f>Carros!P26+Hospedaje!D24</f>
        <v>2</v>
      </c>
      <c r="H26" s="17">
        <f>Hospedaje!C24</f>
        <v>0</v>
      </c>
      <c r="I26" s="17">
        <f>Hospedaje!B24</f>
        <v>6</v>
      </c>
      <c r="J26" s="17">
        <f>Carga!C24</f>
        <v>0</v>
      </c>
      <c r="K26" s="17">
        <f>Carga!B24</f>
        <v>1</v>
      </c>
      <c r="L26" s="17" t="str">
        <f>IFERROR(VLOOKUP(B26,'Lista Carros'!$A$3:$K$26,11,False),"")</f>
        <v>Dobla beneficios de cuidados a largo plazo</v>
      </c>
    </row>
    <row r="27">
      <c r="A27" s="16" t="str">
        <f>Carros!A27</f>
        <v>Bar sin límites</v>
      </c>
      <c r="B27" s="16" t="str">
        <f>Carros!B27</f>
        <v>Carro taberna</v>
      </c>
      <c r="C27" s="9">
        <v>6.0</v>
      </c>
      <c r="D27" s="17">
        <f>Carros!D27</f>
        <v>60</v>
      </c>
      <c r="E27" s="17">
        <f>Carros!G27</f>
        <v>5</v>
      </c>
      <c r="F27" s="17" t="str">
        <f>Tiro!D25</f>
        <v>SUPERA</v>
      </c>
      <c r="G27" s="17">
        <f>Carros!P27+Hospedaje!D25</f>
        <v>5</v>
      </c>
      <c r="H27" s="17">
        <f>Hospedaje!C25</f>
        <v>2.5</v>
      </c>
      <c r="I27" s="17">
        <f>Hospedaje!B25</f>
        <v>3</v>
      </c>
      <c r="J27" s="17">
        <f>Carga!C25</f>
        <v>3</v>
      </c>
      <c r="K27" s="17">
        <f>Carga!B25</f>
        <v>6</v>
      </c>
      <c r="L27" s="17" t="str">
        <f>IFERROR(VLOOKUP(B27,'Lista Carros'!$A$3:$K$26,11,False),"")</f>
        <v/>
      </c>
    </row>
    <row r="28">
      <c r="A28" s="16" t="str">
        <f>Carros!A28</f>
        <v>Cómodo 1</v>
      </c>
      <c r="B28" s="16" t="str">
        <f>Carros!B28</f>
        <v>Carruaje cómodo</v>
      </c>
      <c r="C28" s="9">
        <v>0.0</v>
      </c>
      <c r="D28" s="17">
        <f>Carros!D28</f>
        <v>90</v>
      </c>
      <c r="E28" s="17">
        <f>Carros!G28</f>
        <v>10</v>
      </c>
      <c r="F28" s="17" t="str">
        <f>Tiro!D26</f>
        <v>SUPERA</v>
      </c>
      <c r="G28" s="17">
        <f>Carros!P28+Hospedaje!D26</f>
        <v>7</v>
      </c>
      <c r="H28" s="17">
        <f>Hospedaje!C26</f>
        <v>4.5</v>
      </c>
      <c r="I28" s="17">
        <f>Hospedaje!B26</f>
        <v>5</v>
      </c>
      <c r="J28" s="17">
        <f>Carga!C26</f>
        <v>2</v>
      </c>
      <c r="K28" s="17">
        <f>Carga!B26</f>
        <v>5</v>
      </c>
      <c r="L28" s="17" t="str">
        <f>IFERROR(VLOOKUP(B28,'Lista Carros'!$A$3:$K$26,11,False),"")</f>
        <v/>
      </c>
    </row>
    <row r="29">
      <c r="A29" s="16" t="str">
        <f>Carros!A29</f>
        <v>Cómodo 2</v>
      </c>
      <c r="B29" s="16" t="str">
        <f>Carros!B29</f>
        <v>Carruaje cómodo</v>
      </c>
      <c r="C29" s="9">
        <v>8.0</v>
      </c>
      <c r="D29" s="17">
        <f>Carros!D29</f>
        <v>90</v>
      </c>
      <c r="E29" s="17">
        <f>Carros!G29</f>
        <v>10</v>
      </c>
      <c r="F29" s="17" t="str">
        <f>Tiro!D27</f>
        <v>SUPERA</v>
      </c>
      <c r="G29" s="17">
        <f>Carros!P29+Hospedaje!D27</f>
        <v>7</v>
      </c>
      <c r="H29" s="17">
        <f>Hospedaje!C27</f>
        <v>4</v>
      </c>
      <c r="I29" s="17">
        <f>Hospedaje!B27</f>
        <v>5</v>
      </c>
      <c r="J29" s="17">
        <f>Carga!C27</f>
        <v>2.5</v>
      </c>
      <c r="K29" s="17">
        <f>Carga!B27</f>
        <v>5</v>
      </c>
      <c r="L29" s="17" t="str">
        <f>IFERROR(VLOOKUP(B29,'Lista Carros'!$A$3:$K$26,11,False),"")</f>
        <v/>
      </c>
    </row>
    <row r="30">
      <c r="A30" s="16" t="str">
        <f>Carros!A30</f>
        <v>Real</v>
      </c>
      <c r="B30" s="16" t="str">
        <f>Carros!B30</f>
        <v>Carruaje real</v>
      </c>
      <c r="C30" s="9">
        <v>0.0</v>
      </c>
      <c r="D30" s="17">
        <f>Carros!D30</f>
        <v>120</v>
      </c>
      <c r="E30" s="17">
        <f>Carros!G30</f>
        <v>10</v>
      </c>
      <c r="F30" s="17" t="str">
        <f>Tiro!D28</f>
        <v>SUPERA</v>
      </c>
      <c r="G30" s="17">
        <f>Carros!P30+Hospedaje!D28</f>
        <v>6</v>
      </c>
      <c r="H30" s="17">
        <f>Hospedaje!C28</f>
        <v>3</v>
      </c>
      <c r="I30" s="17">
        <f>Hospedaje!B28</f>
        <v>3</v>
      </c>
      <c r="J30" s="17">
        <f>Carga!C28</f>
        <v>1</v>
      </c>
      <c r="K30" s="17">
        <f>Carga!B28</f>
        <v>2</v>
      </c>
      <c r="L30" s="17" t="str">
        <f>IFERROR(VLOOKUP(B30,'Lista Carros'!$A$3:$K$26,11,False),"")</f>
        <v>Otorga +2 Determinación por pasajero asignado</v>
      </c>
    </row>
    <row r="31">
      <c r="A31" s="16" t="str">
        <f>Carros!A31</f>
        <v>Viajeros grande</v>
      </c>
      <c r="B31" s="16" t="str">
        <f>Carros!B31</f>
        <v>Carro de viajeros</v>
      </c>
      <c r="C31" s="9">
        <v>0.0</v>
      </c>
      <c r="D31" s="17">
        <f>Carros!D31</f>
        <v>60</v>
      </c>
      <c r="E31" s="17">
        <f>Carros!G31</f>
        <v>5</v>
      </c>
      <c r="F31" s="17" t="str">
        <f>Tiro!D29</f>
        <v>SUPERA</v>
      </c>
      <c r="G31" s="17">
        <f>Carros!P31+Hospedaje!D29</f>
        <v>11</v>
      </c>
      <c r="H31" s="17">
        <f>Hospedaje!C29</f>
        <v>9</v>
      </c>
      <c r="I31" s="17">
        <f>Hospedaje!B29</f>
        <v>10</v>
      </c>
      <c r="J31" s="17">
        <f>Carga!C29</f>
        <v>0</v>
      </c>
      <c r="K31" s="17">
        <f>Carga!B29</f>
        <v>5</v>
      </c>
      <c r="L31" s="17" t="str">
        <f>IFERROR(VLOOKUP(B31,'Lista Carros'!$A$3:$K$26,11,False),"")</f>
        <v>Otorga +1 CA a la caravana</v>
      </c>
    </row>
    <row r="32">
      <c r="A32" s="16" t="str">
        <f>Carros!A32</f>
        <v/>
      </c>
      <c r="B32" s="16" t="str">
        <f>Carros!B32</f>
        <v/>
      </c>
      <c r="D32" s="17">
        <f>Carros!D32</f>
        <v>0</v>
      </c>
      <c r="E32" s="17">
        <f>Carros!G32</f>
        <v>0</v>
      </c>
      <c r="F32" s="17" t="str">
        <f>Tiro!D30</f>
        <v>SUPERA</v>
      </c>
      <c r="G32" s="17">
        <f>Carros!P32+Hospedaje!D30</f>
        <v>0</v>
      </c>
      <c r="H32" s="17">
        <f>Hospedaje!C30</f>
        <v>0</v>
      </c>
      <c r="I32" s="17" t="str">
        <f>Hospedaje!B30</f>
        <v/>
      </c>
      <c r="J32" s="17">
        <f>Carga!C30</f>
        <v>0</v>
      </c>
      <c r="K32" s="17" t="str">
        <f>Carga!B30</f>
        <v/>
      </c>
      <c r="L32" s="17" t="str">
        <f>IFERROR(VLOOKUP(B32,'Lista Carros'!$A$3:$K$26,11,False),"")</f>
        <v/>
      </c>
    </row>
    <row r="33">
      <c r="A33" s="16" t="str">
        <f>Carros!A33</f>
        <v/>
      </c>
      <c r="B33" s="16" t="str">
        <f>Carros!B33</f>
        <v/>
      </c>
      <c r="D33" s="17">
        <f>Carros!D33</f>
        <v>0</v>
      </c>
      <c r="E33" s="17">
        <f>Carros!G33</f>
        <v>0</v>
      </c>
      <c r="F33" s="17" t="str">
        <f>Tiro!D31</f>
        <v>SUPERA</v>
      </c>
      <c r="G33" s="17">
        <f>Carros!P33+Hospedaje!D31</f>
        <v>0</v>
      </c>
      <c r="H33" s="17">
        <f>Hospedaje!C31</f>
        <v>0</v>
      </c>
      <c r="I33" s="17" t="str">
        <f>Hospedaje!B31</f>
        <v/>
      </c>
      <c r="J33" s="17">
        <f>Carga!C31</f>
        <v>0</v>
      </c>
      <c r="K33" s="17" t="str">
        <f>Carga!B31</f>
        <v/>
      </c>
      <c r="L33" s="17" t="str">
        <f>IFERROR(VLOOKUP(B33,'Lista Carros'!$A$3:$K$26,11,False),"")</f>
        <v/>
      </c>
    </row>
    <row r="34">
      <c r="A34" s="16" t="str">
        <f>Carros!A34</f>
        <v/>
      </c>
      <c r="B34" s="16" t="str">
        <f>Carros!B34</f>
        <v/>
      </c>
      <c r="D34" s="17">
        <f>Carros!D34</f>
        <v>0</v>
      </c>
      <c r="E34" s="17">
        <f>Carros!G34</f>
        <v>0</v>
      </c>
      <c r="F34" s="17" t="str">
        <f>Tiro!D32</f>
        <v>SUPERA</v>
      </c>
      <c r="G34" s="17">
        <f>Carros!P34+Hospedaje!D32</f>
        <v>0</v>
      </c>
      <c r="H34" s="17">
        <f>Hospedaje!C32</f>
        <v>0</v>
      </c>
      <c r="I34" s="17" t="str">
        <f>Hospedaje!B32</f>
        <v/>
      </c>
      <c r="J34" s="17">
        <f>Carga!C32</f>
        <v>0</v>
      </c>
      <c r="K34" s="17" t="str">
        <f>Carga!B32</f>
        <v/>
      </c>
      <c r="L34" s="17" t="str">
        <f>IFERROR(VLOOKUP(B34,'Lista Carros'!$A$3:$K$26,11,False),"")</f>
        <v/>
      </c>
    </row>
  </sheetData>
  <mergeCells count="9">
    <mergeCell ref="F1:F3"/>
    <mergeCell ref="E2:E3"/>
    <mergeCell ref="A1:B2"/>
    <mergeCell ref="C1:E1"/>
    <mergeCell ref="G1:G3"/>
    <mergeCell ref="H1:I2"/>
    <mergeCell ref="J1:K2"/>
    <mergeCell ref="L1:L3"/>
    <mergeCell ref="C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1.0"/>
    <col customWidth="1" min="2" max="2" width="21.75"/>
    <col customWidth="1" min="3" max="3" width="25.25"/>
    <col customWidth="1" min="4" max="4" width="21.0"/>
    <col customWidth="1" min="5" max="5" width="14.25"/>
    <col customWidth="1" min="10" max="11" width="25.25"/>
    <col customWidth="1" min="12" max="12" width="21.0"/>
    <col customWidth="1" min="13" max="18" width="22.0"/>
    <col customWidth="1" min="19" max="19" width="12.25"/>
    <col customWidth="1" min="20" max="20" width="15.25"/>
    <col customWidth="1" min="21" max="21" width="12.25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9" t="s">
        <v>20</v>
      </c>
    </row>
    <row r="2">
      <c r="A2" s="20" t="s">
        <v>15</v>
      </c>
      <c r="B2" s="20" t="s">
        <v>21</v>
      </c>
      <c r="C2" s="20" t="s">
        <v>22</v>
      </c>
      <c r="D2" s="20" t="s">
        <v>23</v>
      </c>
      <c r="E2" s="20" t="s">
        <v>7</v>
      </c>
      <c r="F2" s="20" t="s">
        <v>24</v>
      </c>
      <c r="G2" s="20" t="s">
        <v>25</v>
      </c>
      <c r="H2" s="20" t="s">
        <v>6</v>
      </c>
      <c r="I2" s="20" t="s">
        <v>26</v>
      </c>
    </row>
    <row r="3">
      <c r="A3" s="9" t="s">
        <v>27</v>
      </c>
      <c r="B3" s="9"/>
      <c r="C3" s="9" t="s">
        <v>28</v>
      </c>
      <c r="D3" s="9" t="s">
        <v>29</v>
      </c>
      <c r="E3" s="21" t="str">
        <f t="array" ref="E3">IFERROR(INDEX(Hospedaje!$A$2:$A$32, MATCH(TRUE, BYROW(Hospedaje!$E$2:$S$32, LAMBDA(fila, COUNTIF(fila, A3)&gt;0)), 0)),"-")</f>
        <v>Cómodo 1</v>
      </c>
      <c r="F3" s="9">
        <v>1.0</v>
      </c>
      <c r="G3" s="9">
        <v>1.0</v>
      </c>
      <c r="I3" s="21" t="str">
        <f>IF(COUNTIF(Hospedaje!$E$2:$S$32,A3)=1,"Sí",IF(COUNTIF(Hospedaje!$E$2:$S$32,A3)=0,"No","DUPLICADO"))</f>
        <v>Sí</v>
      </c>
      <c r="J3" s="9" t="s">
        <v>29</v>
      </c>
      <c r="K3" s="9" t="s">
        <v>28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9" t="s">
        <v>30</v>
      </c>
    </row>
    <row r="4">
      <c r="A4" s="9" t="s">
        <v>31</v>
      </c>
      <c r="B4" s="9"/>
      <c r="C4" s="9" t="s">
        <v>28</v>
      </c>
      <c r="D4" s="9" t="s">
        <v>32</v>
      </c>
      <c r="E4" s="21" t="str">
        <f t="array" ref="E4">IFERROR(INDEX(Hospedaje!$A$2:$A$32, MATCH(TRUE, BYROW(Hospedaje!$E$2:$S$32, LAMBDA(fila, COUNTIF(fila, A4)&gt;0)), 0)),"-")</f>
        <v>Real</v>
      </c>
      <c r="F4" s="9">
        <v>1.0</v>
      </c>
      <c r="G4" s="9">
        <v>1.0</v>
      </c>
      <c r="I4" s="21" t="str">
        <f>IF(COUNTIF(Hospedaje!$E$2:$S$32,A4)=1,"Sí",IF(COUNTIF(Hospedaje!$E$2:$S$32,A4)=0,"No","DUPLICADO"))</f>
        <v>Sí</v>
      </c>
      <c r="J4" s="9" t="s">
        <v>28</v>
      </c>
      <c r="K4" s="9" t="s">
        <v>32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9" t="s">
        <v>30</v>
      </c>
    </row>
    <row r="5">
      <c r="A5" s="9" t="s">
        <v>33</v>
      </c>
      <c r="B5" s="9"/>
      <c r="C5" s="9" t="s">
        <v>34</v>
      </c>
      <c r="D5" s="9" t="s">
        <v>35</v>
      </c>
      <c r="E5" s="21" t="str">
        <f t="array" ref="E5">IFERROR(INDEX(Hospedaje!$A$2:$A$32, MATCH(TRUE, BYROW(Hospedaje!$E$2:$S$32, LAMBDA(fila, COUNTIF(fila, A5)&gt;0)), 0)),"-")</f>
        <v>Bar sin límites</v>
      </c>
      <c r="F5" s="9">
        <v>1.0</v>
      </c>
      <c r="G5" s="9">
        <v>1.0</v>
      </c>
      <c r="I5" s="21" t="str">
        <f>IF(COUNTIF(Hospedaje!$E$2:$S$32,A5)=1,"Sí",IF(COUNTIF(Hospedaje!$E$2:$S$32,A5)=0,"No","DUPLICADO"))</f>
        <v>Sí</v>
      </c>
      <c r="J5" s="9" t="s">
        <v>34</v>
      </c>
      <c r="K5" s="9" t="s">
        <v>35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9" t="s">
        <v>30</v>
      </c>
    </row>
    <row r="6">
      <c r="A6" s="9" t="s">
        <v>36</v>
      </c>
      <c r="B6" s="9"/>
      <c r="C6" s="9" t="s">
        <v>32</v>
      </c>
      <c r="D6" s="9" t="s">
        <v>28</v>
      </c>
      <c r="E6" s="21" t="str">
        <f t="array" ref="E6">IFERROR(INDEX(Hospedaje!$A$2:$A$32, MATCH(TRUE, BYROW(Hospedaje!$E$2:$S$32, LAMBDA(fila, COUNTIF(fila, A6)&gt;0)), 0)),"-")</f>
        <v>Cómodo 2</v>
      </c>
      <c r="F6" s="9">
        <v>1.0</v>
      </c>
      <c r="G6" s="9">
        <v>1.0</v>
      </c>
      <c r="I6" s="21" t="str">
        <f>IF(COUNTIF(Hospedaje!$E$2:$S$32,A6)=1,"Sí",IF(COUNTIF(Hospedaje!$E$2:$S$32,A6)=0,"No","DUPLICADO"))</f>
        <v>Sí</v>
      </c>
      <c r="J6" s="9" t="s">
        <v>28</v>
      </c>
      <c r="K6" s="9" t="s">
        <v>32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9" t="s">
        <v>30</v>
      </c>
    </row>
    <row r="7">
      <c r="A7" s="9" t="s">
        <v>37</v>
      </c>
      <c r="B7" s="9"/>
      <c r="C7" s="9" t="s">
        <v>38</v>
      </c>
      <c r="D7" s="9" t="s">
        <v>39</v>
      </c>
      <c r="E7" s="21" t="str">
        <f t="array" ref="E7">IFERROR(INDEX(Hospedaje!$A$2:$A$32, MATCH(TRUE, BYROW(Hospedaje!$E$2:$S$32, LAMBDA(fila, COUNTIF(fila, A7)&gt;0)), 0)),"-")</f>
        <v>Cómodo 1</v>
      </c>
      <c r="F7" s="9">
        <v>1.0</v>
      </c>
      <c r="G7" s="9">
        <v>1.0</v>
      </c>
      <c r="I7" s="21" t="str">
        <f>IF(COUNTIF(Hospedaje!$E$2:$S$32,A7)=1,"Sí",IF(COUNTIF(Hospedaje!$E$2:$S$32,A7)=0,"No","DUPLICADO"))</f>
        <v>Sí</v>
      </c>
      <c r="J7" s="9" t="s">
        <v>39</v>
      </c>
      <c r="K7" s="9" t="s">
        <v>38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9" t="s">
        <v>30</v>
      </c>
    </row>
    <row r="8">
      <c r="A8" s="9" t="s">
        <v>40</v>
      </c>
      <c r="B8" s="9"/>
      <c r="C8" s="9" t="s">
        <v>29</v>
      </c>
      <c r="D8" s="9" t="s">
        <v>39</v>
      </c>
      <c r="E8" s="21" t="str">
        <f t="array" ref="E8">IFERROR(INDEX(Hospedaje!$A$2:$A$32, MATCH(TRUE, BYROW(Hospedaje!$E$2:$S$32, LAMBDA(fila, COUNTIF(fila, A8)&gt;0)), 0)),"-")</f>
        <v>Real</v>
      </c>
      <c r="F8" s="9">
        <v>1.0</v>
      </c>
      <c r="G8" s="9">
        <v>1.0</v>
      </c>
      <c r="I8" s="21" t="str">
        <f>IF(COUNTIF(Hospedaje!$E$2:$S$32,A8)=1,"Sí",IF(COUNTIF(Hospedaje!$E$2:$S$32,A8)=0,"No","DUPLICADO"))</f>
        <v>Sí</v>
      </c>
      <c r="J8" s="9" t="s">
        <v>29</v>
      </c>
      <c r="K8" s="9" t="s">
        <v>41</v>
      </c>
      <c r="L8" s="9" t="s">
        <v>42</v>
      </c>
      <c r="M8" s="9" t="s">
        <v>32</v>
      </c>
      <c r="N8" s="9" t="s">
        <v>39</v>
      </c>
      <c r="O8" s="9" t="s">
        <v>43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9" t="s">
        <v>30</v>
      </c>
    </row>
    <row r="9">
      <c r="A9" s="9" t="s">
        <v>44</v>
      </c>
      <c r="B9" s="9"/>
      <c r="C9" s="9" t="s">
        <v>45</v>
      </c>
      <c r="D9" s="9"/>
      <c r="E9" s="21" t="str">
        <f t="array" ref="E9">IFERROR(INDEX(Hospedaje!$A$2:$A$32, MATCH(TRUE, BYROW(Hospedaje!$E$2:$S$32, LAMBDA(fila, COUNTIF(fila, A9)&gt;0)), 0)),"-")</f>
        <v>Cómodo 2</v>
      </c>
      <c r="F9" s="9">
        <v>1.0</v>
      </c>
      <c r="G9" s="9">
        <v>1.0</v>
      </c>
      <c r="I9" s="21" t="str">
        <f>IF(COUNTIF(Hospedaje!$E$2:$S$32,A9)=1,"Sí",IF(COUNTIF(Hospedaje!$E$2:$S$32,A9)=0,"No","DUPLICADO"))</f>
        <v>Sí</v>
      </c>
      <c r="J9" s="9" t="s">
        <v>29</v>
      </c>
      <c r="K9" s="9" t="s">
        <v>45</v>
      </c>
      <c r="L9" s="9" t="s">
        <v>32</v>
      </c>
      <c r="M9" s="9" t="s">
        <v>46</v>
      </c>
      <c r="N9" s="9" t="s">
        <v>47</v>
      </c>
      <c r="O9" s="9" t="s">
        <v>48</v>
      </c>
      <c r="P9" s="9" t="s">
        <v>49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9" t="s">
        <v>30</v>
      </c>
    </row>
    <row r="10">
      <c r="A10" s="9" t="s">
        <v>50</v>
      </c>
      <c r="B10" s="9"/>
      <c r="C10" s="9" t="s">
        <v>42</v>
      </c>
      <c r="D10" s="9"/>
      <c r="E10" s="21" t="str">
        <f t="array" ref="E10">IFERROR(INDEX(Hospedaje!$A$2:$A$32, MATCH(TRUE, BYROW(Hospedaje!$E$2:$S$32, LAMBDA(fila, COUNTIF(fila, A10)&gt;0)), 0)),"-")</f>
        <v>Cómodo 1</v>
      </c>
      <c r="F10" s="9">
        <v>1.0</v>
      </c>
      <c r="G10" s="9">
        <v>1.0</v>
      </c>
      <c r="I10" s="21" t="str">
        <f>IF(COUNTIF(Hospedaje!$E$2:$S$32,A10)=1,"Sí",IF(COUNTIF(Hospedaje!$E$2:$S$32,A10)=0,"No","DUPLICADO"))</f>
        <v>Sí</v>
      </c>
      <c r="J10" s="9" t="s">
        <v>29</v>
      </c>
      <c r="K10" s="9" t="s">
        <v>32</v>
      </c>
      <c r="L10" s="9" t="s">
        <v>43</v>
      </c>
      <c r="M10" s="9" t="s">
        <v>41</v>
      </c>
      <c r="N10" s="9" t="s">
        <v>42</v>
      </c>
      <c r="O10" s="9" t="s">
        <v>51</v>
      </c>
      <c r="P10" s="9" t="s">
        <v>52</v>
      </c>
      <c r="Q10" s="9" t="s">
        <v>53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9" t="s">
        <v>30</v>
      </c>
    </row>
    <row r="11">
      <c r="A11" s="9" t="s">
        <v>54</v>
      </c>
      <c r="B11" s="9"/>
      <c r="C11" s="9" t="s">
        <v>35</v>
      </c>
      <c r="D11" s="9"/>
      <c r="E11" s="21" t="str">
        <f t="array" ref="E11">IFERROR(INDEX(Hospedaje!$A$2:$A$32, MATCH(TRUE, BYROW(Hospedaje!$E$2:$S$32, LAMBDA(fila, COUNTIF(fila, A11)&gt;0)), 0)),"-")</f>
        <v>Real</v>
      </c>
      <c r="F11" s="9">
        <v>1.0</v>
      </c>
      <c r="G11" s="9">
        <v>1.0</v>
      </c>
      <c r="I11" s="21" t="str">
        <f>IF(COUNTIF(Hospedaje!$E$2:$S$32,A11)=1,"Sí",IF(COUNTIF(Hospedaje!$E$2:$S$32,A11)=0,"No","DUPLICADO"))</f>
        <v>Sí</v>
      </c>
      <c r="J11" s="9" t="s">
        <v>55</v>
      </c>
      <c r="K11" s="9" t="s">
        <v>35</v>
      </c>
      <c r="L11" s="9" t="s">
        <v>43</v>
      </c>
      <c r="M11" s="9" t="s">
        <v>29</v>
      </c>
      <c r="N11" s="9" t="s">
        <v>32</v>
      </c>
      <c r="O11" s="9" t="s">
        <v>30</v>
      </c>
      <c r="P11" s="9" t="s">
        <v>56</v>
      </c>
      <c r="Q11" s="9" t="s">
        <v>53</v>
      </c>
      <c r="R11" s="9" t="s">
        <v>49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9" t="s">
        <v>30</v>
      </c>
    </row>
    <row r="12">
      <c r="A12" s="9" t="s">
        <v>57</v>
      </c>
      <c r="B12" s="9"/>
      <c r="C12" s="9" t="s">
        <v>58</v>
      </c>
      <c r="D12" s="9"/>
      <c r="E12" s="21" t="str">
        <f t="array" ref="E12">IFERROR(INDEX(Hospedaje!$A$2:$A$32, MATCH(TRUE, BYROW(Hospedaje!$E$2:$S$32, LAMBDA(fila, COUNTIF(fila, A12)&gt;0)), 0)),"-")</f>
        <v>Koya</v>
      </c>
      <c r="F12" s="9">
        <v>1.0</v>
      </c>
      <c r="G12" s="9">
        <v>1.0</v>
      </c>
      <c r="I12" s="21" t="str">
        <f>IF(COUNTIF(Hospedaje!$E$2:$S$32,A12)=1,"Sí",IF(COUNTIF(Hospedaje!$E$2:$S$32,A12)=0,"No","DUPLICADO"))</f>
        <v>Sí</v>
      </c>
      <c r="J12" s="9" t="s">
        <v>58</v>
      </c>
      <c r="K12" s="9" t="s">
        <v>59</v>
      </c>
      <c r="L12" s="9" t="s">
        <v>29</v>
      </c>
      <c r="M12" s="9" t="s">
        <v>32</v>
      </c>
      <c r="N12" s="9" t="s">
        <v>49</v>
      </c>
      <c r="O12" s="9" t="s">
        <v>52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9" t="s">
        <v>30</v>
      </c>
    </row>
    <row r="13">
      <c r="A13" s="9" t="s">
        <v>60</v>
      </c>
      <c r="B13" s="9" t="s">
        <v>61</v>
      </c>
      <c r="C13" s="9" t="s">
        <v>42</v>
      </c>
      <c r="D13" s="9"/>
      <c r="E13" s="21" t="str">
        <f t="array" ref="E13">IFERROR(INDEX(Hospedaje!$A$2:$A$32, MATCH(TRUE, BYROW(Hospedaje!$E$2:$S$32, LAMBDA(fila, COUNTIF(fila, A13)&gt;0)), 0)),"-")</f>
        <v>Viajeros 1</v>
      </c>
      <c r="F13" s="9">
        <v>1.0</v>
      </c>
      <c r="G13" s="9">
        <v>1.0</v>
      </c>
      <c r="I13" s="21" t="str">
        <f>IF(COUNTIF(Hospedaje!$E$2:$S$32,A13)=1,"Sí",IF(COUNTIF(Hospedaje!$E$2:$S$32,A13)=0,"No","DUPLICADO"))</f>
        <v>Sí</v>
      </c>
      <c r="J13" s="9" t="s">
        <v>42</v>
      </c>
      <c r="K13" s="9" t="s">
        <v>41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9" t="s">
        <v>30</v>
      </c>
    </row>
    <row r="14">
      <c r="A14" s="23" t="s">
        <v>62</v>
      </c>
      <c r="B14" s="24" t="s">
        <v>61</v>
      </c>
      <c r="C14" s="9" t="s">
        <v>42</v>
      </c>
      <c r="D14" s="9"/>
      <c r="E14" s="21" t="str">
        <f t="array" ref="E14">IFERROR(INDEX(Hospedaje!$A$2:$A$32, MATCH(TRUE, BYROW(Hospedaje!$E$2:$S$32, LAMBDA(fila, COUNTIF(fila, A14)&gt;0)), 0)),"-")</f>
        <v>Viajeros 1</v>
      </c>
      <c r="F14" s="9">
        <v>1.0</v>
      </c>
      <c r="G14" s="9">
        <v>1.0</v>
      </c>
      <c r="I14" s="21" t="str">
        <f>IF(COUNTIF(Hospedaje!$E$2:$S$32,A14)=1,"Sí",IF(COUNTIF(Hospedaje!$E$2:$S$32,A14)=0,"No","DUPLICADO"))</f>
        <v>Sí</v>
      </c>
      <c r="J14" s="9" t="s">
        <v>42</v>
      </c>
      <c r="K14" s="9" t="s">
        <v>41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9" t="s">
        <v>30</v>
      </c>
    </row>
    <row r="15">
      <c r="A15" s="23" t="s">
        <v>63</v>
      </c>
      <c r="B15" s="24" t="s">
        <v>64</v>
      </c>
      <c r="C15" s="9" t="s">
        <v>42</v>
      </c>
      <c r="D15" s="9"/>
      <c r="E15" s="21" t="str">
        <f t="array" ref="E15">IFERROR(INDEX(Hospedaje!$A$2:$A$32, MATCH(TRUE, BYROW(Hospedaje!$E$2:$S$32, LAMBDA(fila, COUNTIF(fila, A15)&gt;0)), 0)),"-")</f>
        <v>Viajeros 1</v>
      </c>
      <c r="F15" s="9">
        <v>1.0</v>
      </c>
      <c r="G15" s="9">
        <v>1.0</v>
      </c>
      <c r="H15" s="9">
        <v>10.0</v>
      </c>
      <c r="I15" s="21" t="str">
        <f>IF(COUNTIF(Hospedaje!$E$2:$S$32,A15)=1,"Sí",IF(COUNTIF(Hospedaje!$E$2:$S$32,A15)=0,"No","DUPLICADO"))</f>
        <v>Sí</v>
      </c>
      <c r="J15" s="9" t="s">
        <v>42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9" t="s">
        <v>30</v>
      </c>
    </row>
    <row r="16">
      <c r="A16" s="23" t="s">
        <v>65</v>
      </c>
      <c r="B16" s="24" t="s">
        <v>64</v>
      </c>
      <c r="C16" s="9" t="s">
        <v>42</v>
      </c>
      <c r="D16" s="9"/>
      <c r="E16" s="21" t="str">
        <f t="array" ref="E16">IFERROR(INDEX(Hospedaje!$A$2:$A$32, MATCH(TRUE, BYROW(Hospedaje!$E$2:$S$32, LAMBDA(fila, COUNTIF(fila, A16)&gt;0)), 0)),"-")</f>
        <v>Viajeros 1</v>
      </c>
      <c r="F16" s="9">
        <v>1.0</v>
      </c>
      <c r="G16" s="9">
        <v>1.0</v>
      </c>
      <c r="H16" s="9">
        <v>10.0</v>
      </c>
      <c r="I16" s="21" t="str">
        <f>IF(COUNTIF(Hospedaje!$E$2:$S$32,A16)=1,"Sí",IF(COUNTIF(Hospedaje!$E$2:$S$32,A16)=0,"No","DUPLICADO"))</f>
        <v>Sí</v>
      </c>
      <c r="J16" s="9" t="s">
        <v>42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9" t="s">
        <v>30</v>
      </c>
    </row>
    <row r="17">
      <c r="A17" s="23" t="s">
        <v>66</v>
      </c>
      <c r="B17" s="24" t="s">
        <v>64</v>
      </c>
      <c r="C17" s="9" t="s">
        <v>42</v>
      </c>
      <c r="D17" s="9"/>
      <c r="E17" s="21" t="str">
        <f t="array" ref="E17">IFERROR(INDEX(Hospedaje!$A$2:$A$32, MATCH(TRUE, BYROW(Hospedaje!$E$2:$S$32, LAMBDA(fila, COUNTIF(fila, A17)&gt;0)), 0)),"-")</f>
        <v>Viajeros 1</v>
      </c>
      <c r="F17" s="9">
        <v>1.0</v>
      </c>
      <c r="G17" s="9">
        <v>1.0</v>
      </c>
      <c r="H17" s="9">
        <v>10.0</v>
      </c>
      <c r="I17" s="21" t="str">
        <f>IF(COUNTIF(Hospedaje!$E$2:$S$32,A17)=1,"Sí",IF(COUNTIF(Hospedaje!$E$2:$S$32,A17)=0,"No","DUPLICADO"))</f>
        <v>Sí</v>
      </c>
      <c r="J17" s="9" t="s">
        <v>42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9" t="s">
        <v>30</v>
      </c>
    </row>
    <row r="18">
      <c r="A18" s="23" t="s">
        <v>67</v>
      </c>
      <c r="B18" s="24" t="s">
        <v>68</v>
      </c>
      <c r="C18" s="9" t="s">
        <v>38</v>
      </c>
      <c r="D18" s="9"/>
      <c r="E18" s="21" t="str">
        <f t="array" ref="E18">IFERROR(INDEX(Hospedaje!$A$2:$A$32, MATCH(TRUE, BYROW(Hospedaje!$E$2:$S$32, LAMBDA(fila, COUNTIF(fila, A18)&gt;0)), 0)),"-")</f>
        <v>Viajeros 1</v>
      </c>
      <c r="F18" s="9">
        <v>1.0</v>
      </c>
      <c r="G18" s="9">
        <v>1.0</v>
      </c>
      <c r="H18" s="9">
        <v>75.0</v>
      </c>
      <c r="I18" s="21" t="str">
        <f>IF(COUNTIF(Hospedaje!$E$2:$S$32,A18)=1,"Sí",IF(COUNTIF(Hospedaje!$E$2:$S$32,A18)=0,"No","DUPLICADO"))</f>
        <v>Sí</v>
      </c>
      <c r="J18" s="9" t="s">
        <v>38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9" t="s">
        <v>30</v>
      </c>
    </row>
    <row r="19">
      <c r="A19" s="23" t="s">
        <v>69</v>
      </c>
      <c r="B19" s="23"/>
      <c r="C19" s="9" t="s">
        <v>32</v>
      </c>
      <c r="D19" s="9"/>
      <c r="E19" s="21" t="str">
        <f t="array" ref="E19">IFERROR(INDEX(Hospedaje!$A$2:$A$32, MATCH(TRUE, BYROW(Hospedaje!$E$2:$S$32, LAMBDA(fila, COUNTIF(fila, A19)&gt;0)), 0)),"-")</f>
        <v>Bar sin límites</v>
      </c>
      <c r="F19" s="9">
        <v>1.0</v>
      </c>
      <c r="G19" s="9">
        <v>0.5</v>
      </c>
      <c r="I19" s="21" t="str">
        <f>IF(COUNTIF(Hospedaje!$E$2:$S$32,A19)=1,"Sí",IF(COUNTIF(Hospedaje!$E$2:$S$32,A19)=0,"No","DUPLICADO"))</f>
        <v>Sí</v>
      </c>
      <c r="J19" s="9" t="s">
        <v>29</v>
      </c>
      <c r="K19" s="9" t="s">
        <v>32</v>
      </c>
      <c r="L19" s="9" t="s">
        <v>45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9" t="s">
        <v>30</v>
      </c>
    </row>
    <row r="20">
      <c r="A20" s="24" t="s">
        <v>70</v>
      </c>
      <c r="B20" s="24" t="s">
        <v>71</v>
      </c>
      <c r="C20" s="9" t="s">
        <v>56</v>
      </c>
      <c r="D20" s="9"/>
      <c r="E20" s="21" t="str">
        <f t="array" ref="E20">IFERROR(INDEX(Hospedaje!$A$2:$A$32, MATCH(TRUE, BYROW(Hospedaje!$E$2:$S$32, LAMBDA(fila, COUNTIF(fila, A20)&gt;0)), 0)),"-")</f>
        <v>Bar sin límites</v>
      </c>
      <c r="F20" s="9">
        <v>1.0</v>
      </c>
      <c r="G20" s="9">
        <v>1.0</v>
      </c>
      <c r="I20" s="21" t="str">
        <f>IF(COUNTIF(Hospedaje!$E$2:$S$32,A20)=1,"Sí",IF(COUNTIF(Hospedaje!$E$2:$S$32,A20)=0,"No","DUPLICADO"))</f>
        <v>Sí</v>
      </c>
      <c r="J20" s="9" t="s">
        <v>56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9" t="s">
        <v>30</v>
      </c>
    </row>
    <row r="21">
      <c r="A21" s="24" t="s">
        <v>72</v>
      </c>
      <c r="B21" s="24" t="s">
        <v>73</v>
      </c>
      <c r="C21" s="9" t="s">
        <v>49</v>
      </c>
      <c r="D21" s="9"/>
      <c r="E21" s="21" t="str">
        <f t="array" ref="E21">IFERROR(INDEX(Hospedaje!$A$2:$A$32, MATCH(TRUE, BYROW(Hospedaje!$E$2:$S$32, LAMBDA(fila, COUNTIF(fila, A21)&gt;0)), 0)),"-")</f>
        <v>Escuela</v>
      </c>
      <c r="F21" s="9">
        <v>1.0</v>
      </c>
      <c r="G21" s="9">
        <v>1.0</v>
      </c>
      <c r="I21" s="21" t="str">
        <f>IF(COUNTIF(Hospedaje!$E$2:$S$32,A21)=1,"Sí",IF(COUNTIF(Hospedaje!$E$2:$S$32,A21)=0,"No","DUPLICADO"))</f>
        <v>Sí</v>
      </c>
      <c r="J21" s="9" t="s">
        <v>49</v>
      </c>
      <c r="K21" s="9" t="s">
        <v>29</v>
      </c>
      <c r="L21" s="9" t="s">
        <v>32</v>
      </c>
      <c r="M21" s="9" t="s">
        <v>45</v>
      </c>
      <c r="N21" s="9" t="s">
        <v>46</v>
      </c>
      <c r="O21" s="9" t="s">
        <v>47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9" t="s">
        <v>30</v>
      </c>
    </row>
    <row r="22">
      <c r="A22" s="24" t="s">
        <v>74</v>
      </c>
      <c r="B22" s="23"/>
      <c r="C22" s="9" t="s">
        <v>30</v>
      </c>
      <c r="D22" s="9"/>
      <c r="E22" s="21" t="str">
        <f t="array" ref="E22">IFERROR(INDEX(Hospedaje!$A$2:$A$32, MATCH(TRUE, BYROW(Hospedaje!$E$2:$S$32, LAMBDA(fila, COUNTIF(fila, A22)&gt;0)), 0)),"-")</f>
        <v>Real</v>
      </c>
      <c r="F22" s="9">
        <v>1.0</v>
      </c>
      <c r="G22" s="9">
        <v>0.0</v>
      </c>
      <c r="I22" s="21" t="str">
        <f>IF(COUNTIF(Hospedaje!$E$2:$S$32,A22)=1,"Sí",IF(COUNTIF(Hospedaje!$E$2:$S$32,A22)=0,"No","DUPLICADO"))</f>
        <v>Sí</v>
      </c>
      <c r="J22" s="9" t="s">
        <v>29</v>
      </c>
      <c r="K22" s="9" t="s">
        <v>32</v>
      </c>
      <c r="L22" s="9" t="s">
        <v>75</v>
      </c>
      <c r="M22" s="9" t="s">
        <v>49</v>
      </c>
      <c r="N22" s="9" t="s">
        <v>76</v>
      </c>
      <c r="O22" s="9" t="s">
        <v>77</v>
      </c>
      <c r="P22" s="9" t="s">
        <v>39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9" t="s">
        <v>30</v>
      </c>
    </row>
    <row r="23">
      <c r="A23" s="23" t="s">
        <v>78</v>
      </c>
      <c r="B23" s="24" t="s">
        <v>64</v>
      </c>
      <c r="C23" s="9" t="s">
        <v>42</v>
      </c>
      <c r="D23" s="9"/>
      <c r="E23" s="21" t="str">
        <f t="array" ref="E23">IFERROR(INDEX(Hospedaje!$A$2:$A$32, MATCH(TRUE, BYROW(Hospedaje!$E$2:$S$32, LAMBDA(fila, COUNTIF(fila, A23)&gt;0)), 0)),"-")</f>
        <v>Viajeros 5</v>
      </c>
      <c r="F23" s="9">
        <v>1.0</v>
      </c>
      <c r="G23" s="9">
        <v>1.0</v>
      </c>
      <c r="H23" s="9">
        <v>10.0</v>
      </c>
      <c r="I23" s="21" t="str">
        <f>IF(COUNTIF(Hospedaje!$E$2:$S$32,A23)=1,"Sí",IF(COUNTIF(Hospedaje!$E$2:$S$32,A23)=0,"No","DUPLICADO"))</f>
        <v>Sí</v>
      </c>
      <c r="J23" s="9" t="s">
        <v>42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9" t="s">
        <v>30</v>
      </c>
    </row>
    <row r="24">
      <c r="A24" s="23" t="s">
        <v>79</v>
      </c>
      <c r="B24" s="23"/>
      <c r="C24" s="9" t="s">
        <v>59</v>
      </c>
      <c r="D24" s="9"/>
      <c r="E24" s="21" t="str">
        <f t="array" ref="E24">IFERROR(INDEX(Hospedaje!$A$2:$A$32, MATCH(TRUE, BYROW(Hospedaje!$E$2:$S$32, LAMBDA(fila, COUNTIF(fila, A24)&gt;0)), 0)),"-")</f>
        <v>Koya</v>
      </c>
      <c r="F24" s="9">
        <v>0.0</v>
      </c>
      <c r="G24" s="9">
        <v>0.0</v>
      </c>
      <c r="I24" s="21" t="str">
        <f>IF(COUNTIF(Hospedaje!$E$2:$S$32,A24)=1,"Sí",IF(COUNTIF(Hospedaje!$E$2:$S$32,A24)=0,"No","DUPLICADO"))</f>
        <v>Sí</v>
      </c>
      <c r="J24" s="9" t="s">
        <v>59</v>
      </c>
      <c r="K24" s="9" t="s">
        <v>29</v>
      </c>
      <c r="L24" s="9" t="s">
        <v>32</v>
      </c>
      <c r="M24" s="9" t="s">
        <v>58</v>
      </c>
      <c r="N24" s="9" t="s">
        <v>49</v>
      </c>
      <c r="O24" s="9" t="s">
        <v>28</v>
      </c>
      <c r="P24" s="9" t="s">
        <v>55</v>
      </c>
      <c r="Q24" s="9" t="s">
        <v>35</v>
      </c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9" t="s">
        <v>30</v>
      </c>
    </row>
    <row r="25">
      <c r="A25" s="23" t="s">
        <v>80</v>
      </c>
      <c r="B25" s="24" t="s">
        <v>81</v>
      </c>
      <c r="C25" s="9" t="s">
        <v>45</v>
      </c>
      <c r="D25" s="9"/>
      <c r="E25" s="21" t="str">
        <f t="array" ref="E25">IFERROR(INDEX(Hospedaje!$A$2:$A$32, MATCH(TRUE, BYROW(Hospedaje!$E$2:$S$32, LAMBDA(fila, COUNTIF(fila, A25)&gt;0)), 0)),"-")</f>
        <v>Viajeros grande</v>
      </c>
      <c r="F25" s="9">
        <v>1.0</v>
      </c>
      <c r="G25" s="9">
        <v>1.0</v>
      </c>
      <c r="I25" s="21" t="str">
        <f>IF(COUNTIF(Hospedaje!$E$2:$S$32,A25)=1,"Sí",IF(COUNTIF(Hospedaje!$E$2:$S$32,A25)=0,"No","DUPLICADO"))</f>
        <v>Sí</v>
      </c>
      <c r="J25" s="9" t="s">
        <v>45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9" t="s">
        <v>30</v>
      </c>
    </row>
    <row r="26">
      <c r="A26" s="23" t="s">
        <v>82</v>
      </c>
      <c r="B26" s="24" t="s">
        <v>83</v>
      </c>
      <c r="C26" s="9" t="s">
        <v>48</v>
      </c>
      <c r="D26" s="9"/>
      <c r="E26" s="21" t="str">
        <f t="array" ref="E26">IFERROR(INDEX(Hospedaje!$A$2:$A$32, MATCH(TRUE, BYROW(Hospedaje!$E$2:$S$32, LAMBDA(fila, COUNTIF(fila, A26)&gt;0)), 0)),"-")</f>
        <v>Viajeros grande</v>
      </c>
      <c r="F26" s="9">
        <v>1.0</v>
      </c>
      <c r="G26" s="9">
        <v>1.0</v>
      </c>
      <c r="I26" s="21" t="str">
        <f>IF(COUNTIF(Hospedaje!$E$2:$S$32,A26)=1,"Sí",IF(COUNTIF(Hospedaje!$E$2:$S$32,A26)=0,"No","DUPLICADO"))</f>
        <v>Sí</v>
      </c>
      <c r="J26" s="9" t="s">
        <v>48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9" t="s">
        <v>30</v>
      </c>
    </row>
    <row r="27">
      <c r="A27" s="23" t="s">
        <v>84</v>
      </c>
      <c r="B27" s="24" t="s">
        <v>81</v>
      </c>
      <c r="C27" s="9" t="s">
        <v>39</v>
      </c>
      <c r="D27" s="9"/>
      <c r="E27" s="21" t="str">
        <f t="array" ref="E27">IFERROR(INDEX(Hospedaje!$A$2:$A$32, MATCH(TRUE, BYROW(Hospedaje!$E$2:$S$32, LAMBDA(fila, COUNTIF(fila, A27)&gt;0)), 0)),"-")</f>
        <v>Viajeros grande</v>
      </c>
      <c r="F27" s="9">
        <v>1.0</v>
      </c>
      <c r="G27" s="9">
        <v>1.0</v>
      </c>
      <c r="I27" s="21" t="str">
        <f>IF(COUNTIF(Hospedaje!$E$2:$S$32,A27)=1,"Sí",IF(COUNTIF(Hospedaje!$E$2:$S$32,A27)=0,"No","DUPLICADO"))</f>
        <v>Sí</v>
      </c>
      <c r="J27" s="9" t="s">
        <v>39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9" t="s">
        <v>30</v>
      </c>
    </row>
    <row r="28">
      <c r="A28" s="23" t="s">
        <v>85</v>
      </c>
      <c r="B28" s="24" t="s">
        <v>83</v>
      </c>
      <c r="C28" s="9" t="s">
        <v>56</v>
      </c>
      <c r="D28" s="9"/>
      <c r="E28" s="21" t="str">
        <f t="array" ref="E28">IFERROR(INDEX(Hospedaje!$A$2:$A$32, MATCH(TRUE, BYROW(Hospedaje!$E$2:$S$32, LAMBDA(fila, COUNTIF(fila, A28)&gt;0)), 0)),"-")</f>
        <v>Viajeros grande</v>
      </c>
      <c r="F28" s="9">
        <v>1.0</v>
      </c>
      <c r="G28" s="9">
        <v>1.0</v>
      </c>
      <c r="I28" s="21" t="str">
        <f>IF(COUNTIF(Hospedaje!$E$2:$S$32,A28)=1,"Sí",IF(COUNTIF(Hospedaje!$E$2:$S$32,A28)=0,"No","DUPLICADO"))</f>
        <v>Sí</v>
      </c>
      <c r="J28" s="9" t="s">
        <v>56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9" t="s">
        <v>30</v>
      </c>
    </row>
    <row r="29">
      <c r="A29" s="23" t="s">
        <v>86</v>
      </c>
      <c r="B29" s="24" t="s">
        <v>81</v>
      </c>
      <c r="C29" s="9" t="s">
        <v>51</v>
      </c>
      <c r="D29" s="9"/>
      <c r="E29" s="21" t="str">
        <f t="array" ref="E29">IFERROR(INDEX(Hospedaje!$A$2:$A$32, MATCH(TRUE, BYROW(Hospedaje!$E$2:$S$32, LAMBDA(fila, COUNTIF(fila, A29)&gt;0)), 0)),"-")</f>
        <v>Viajeros grande</v>
      </c>
      <c r="F29" s="9">
        <v>1.0</v>
      </c>
      <c r="G29" s="9">
        <v>1.0</v>
      </c>
      <c r="I29" s="21" t="str">
        <f>IF(COUNTIF(Hospedaje!$E$2:$S$32,A29)=1,"Sí",IF(COUNTIF(Hospedaje!$E$2:$S$32,A29)=0,"No","DUPLICADO"))</f>
        <v>Sí</v>
      </c>
      <c r="J29" s="9" t="s">
        <v>51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9" t="s">
        <v>30</v>
      </c>
    </row>
    <row r="30">
      <c r="A30" s="23" t="s">
        <v>87</v>
      </c>
      <c r="B30" s="24" t="s">
        <v>81</v>
      </c>
      <c r="C30" s="9" t="s">
        <v>42</v>
      </c>
      <c r="D30" s="9"/>
      <c r="E30" s="21" t="str">
        <f t="array" ref="E30">IFERROR(INDEX(Hospedaje!$A$2:$A$32, MATCH(TRUE, BYROW(Hospedaje!$E$2:$S$32, LAMBDA(fila, COUNTIF(fila, A30)&gt;0)), 0)),"-")</f>
        <v>Viajeros grande</v>
      </c>
      <c r="F30" s="9">
        <v>1.0</v>
      </c>
      <c r="G30" s="9">
        <v>1.0</v>
      </c>
      <c r="I30" s="21" t="str">
        <f>IF(COUNTIF(Hospedaje!$E$2:$S$32,A30)=1,"Sí",IF(COUNTIF(Hospedaje!$E$2:$S$32,A30)=0,"No","DUPLICADO"))</f>
        <v>Sí</v>
      </c>
      <c r="J30" s="9" t="s">
        <v>42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9" t="s">
        <v>30</v>
      </c>
    </row>
    <row r="31">
      <c r="A31" s="23" t="s">
        <v>88</v>
      </c>
      <c r="B31" s="24" t="s">
        <v>83</v>
      </c>
      <c r="C31" s="9" t="s">
        <v>53</v>
      </c>
      <c r="D31" s="9"/>
      <c r="E31" s="21" t="str">
        <f t="array" ref="E31">IFERROR(INDEX(Hospedaje!$A$2:$A$32, MATCH(TRUE, BYROW(Hospedaje!$E$2:$S$32, LAMBDA(fila, COUNTIF(fila, A31)&gt;0)), 0)),"-")</f>
        <v>Viajeros grande</v>
      </c>
      <c r="F31" s="9">
        <v>1.0</v>
      </c>
      <c r="G31" s="9">
        <v>1.0</v>
      </c>
      <c r="I31" s="21" t="str">
        <f>IF(COUNTIF(Hospedaje!$E$2:$S$32,A31)=1,"Sí",IF(COUNTIF(Hospedaje!$E$2:$S$32,A31)=0,"No","DUPLICADO"))</f>
        <v>Sí</v>
      </c>
      <c r="J31" s="9" t="s">
        <v>53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9" t="s">
        <v>30</v>
      </c>
    </row>
    <row r="32">
      <c r="A32" s="23" t="s">
        <v>89</v>
      </c>
      <c r="B32" s="24" t="s">
        <v>81</v>
      </c>
      <c r="C32" s="9" t="s">
        <v>45</v>
      </c>
      <c r="D32" s="9"/>
      <c r="E32" s="21" t="str">
        <f t="array" ref="E32">IFERROR(INDEX(Hospedaje!$A$2:$A$32, MATCH(TRUE, BYROW(Hospedaje!$E$2:$S$32, LAMBDA(fila, COUNTIF(fila, A32)&gt;0)), 0)),"-")</f>
        <v>Viajeros grande</v>
      </c>
      <c r="F32" s="9">
        <v>1.0</v>
      </c>
      <c r="G32" s="9">
        <v>1.0</v>
      </c>
      <c r="I32" s="21" t="str">
        <f>IF(COUNTIF(Hospedaje!$E$2:$S$32,A32)=1,"Sí",IF(COUNTIF(Hospedaje!$E$2:$S$32,A32)=0,"No","DUPLICADO"))</f>
        <v>Sí</v>
      </c>
      <c r="J32" s="9" t="s">
        <v>45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9" t="s">
        <v>30</v>
      </c>
    </row>
    <row r="33">
      <c r="A33" s="23" t="s">
        <v>90</v>
      </c>
      <c r="B33" s="24" t="s">
        <v>83</v>
      </c>
      <c r="C33" s="9" t="s">
        <v>28</v>
      </c>
      <c r="D33" s="9"/>
      <c r="E33" s="21" t="str">
        <f t="array" ref="E33">IFERROR(INDEX(Hospedaje!$A$2:$A$32, MATCH(TRUE, BYROW(Hospedaje!$E$2:$S$32, LAMBDA(fila, COUNTIF(fila, A33)&gt;0)), 0)),"-")</f>
        <v>Viajeros grande</v>
      </c>
      <c r="F33" s="9">
        <v>1.0</v>
      </c>
      <c r="G33" s="9">
        <v>1.0</v>
      </c>
      <c r="I33" s="21" t="str">
        <f>IF(COUNTIF(Hospedaje!$E$2:$S$32,A33)=1,"Sí",IF(COUNTIF(Hospedaje!$E$2:$S$32,A33)=0,"No","DUPLICADO"))</f>
        <v>Sí</v>
      </c>
      <c r="J33" s="9" t="s">
        <v>28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9" t="s">
        <v>30</v>
      </c>
    </row>
    <row r="34">
      <c r="A34" s="23" t="s">
        <v>91</v>
      </c>
      <c r="B34" s="23"/>
      <c r="C34" s="9" t="s">
        <v>42</v>
      </c>
      <c r="D34" s="9"/>
      <c r="E34" s="21" t="str">
        <f t="array" ref="E34">IFERROR(INDEX(Hospedaje!$A$2:$A$32, MATCH(TRUE, BYROW(Hospedaje!$E$2:$S$32, LAMBDA(fila, COUNTIF(fila, A34)&gt;0)), 0)),"-")</f>
        <v>Cómodo 1</v>
      </c>
      <c r="F34" s="9">
        <v>1.0</v>
      </c>
      <c r="G34" s="9">
        <v>1.0</v>
      </c>
      <c r="H34" s="9">
        <v>80.0</v>
      </c>
      <c r="I34" s="21" t="str">
        <f>IF(COUNTIF(Hospedaje!$E$2:$S$32,A34)=1,"Sí",IF(COUNTIF(Hospedaje!$E$2:$S$32,A34)=0,"No","DUPLICADO"))</f>
        <v>Sí</v>
      </c>
      <c r="J34" s="9" t="s">
        <v>29</v>
      </c>
      <c r="K34" s="9" t="s">
        <v>45</v>
      </c>
      <c r="L34" s="9" t="s">
        <v>47</v>
      </c>
      <c r="M34" s="9" t="s">
        <v>46</v>
      </c>
      <c r="N34" s="9" t="s">
        <v>51</v>
      </c>
      <c r="O34" s="9" t="s">
        <v>32</v>
      </c>
      <c r="P34" s="9" t="s">
        <v>42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9" t="s">
        <v>30</v>
      </c>
    </row>
    <row r="35">
      <c r="A35" s="24" t="s">
        <v>92</v>
      </c>
      <c r="B35" s="24" t="s">
        <v>93</v>
      </c>
      <c r="C35" s="9" t="s">
        <v>30</v>
      </c>
      <c r="D35" s="9"/>
      <c r="E35" s="21" t="str">
        <f t="array" ref="E35">IFERROR(INDEX(Hospedaje!$A$2:$A$32, MATCH(TRUE, BYROW(Hospedaje!$E$2:$S$32, LAMBDA(fila, COUNTIF(fila, A35)&gt;0)), 0)),"-")</f>
        <v>Cómodo 2</v>
      </c>
      <c r="F35" s="9">
        <v>1.0</v>
      </c>
      <c r="G35" s="9">
        <v>0.5</v>
      </c>
      <c r="I35" s="21" t="str">
        <f>IF(COUNTIF(Hospedaje!$E$2:$S$32,A35)=1,"Sí",IF(COUNTIF(Hospedaje!$E$2:$S$32,A35)=0,"No","DUPLICADO"))</f>
        <v>Sí</v>
      </c>
      <c r="J35" s="9" t="s">
        <v>30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9" t="s">
        <v>30</v>
      </c>
    </row>
    <row r="36">
      <c r="A36" s="24" t="s">
        <v>94</v>
      </c>
      <c r="B36" s="24" t="s">
        <v>95</v>
      </c>
      <c r="C36" s="9" t="s">
        <v>30</v>
      </c>
      <c r="D36" s="9"/>
      <c r="E36" s="21" t="str">
        <f t="array" ref="E36">IFERROR(INDEX(Hospedaje!$A$2:$A$32, MATCH(TRUE, BYROW(Hospedaje!$E$2:$S$32, LAMBDA(fila, COUNTIF(fila, A36)&gt;0)), 0)),"-")</f>
        <v>Cómodo 2</v>
      </c>
      <c r="F36" s="9">
        <v>1.0</v>
      </c>
      <c r="G36" s="9">
        <v>0.5</v>
      </c>
      <c r="I36" s="21" t="str">
        <f>IF(COUNTIF(Hospedaje!$E$2:$S$32,A36)=1,"Sí",IF(COUNTIF(Hospedaje!$E$2:$S$32,A36)=0,"No","DUPLICADO"))</f>
        <v>Sí</v>
      </c>
      <c r="J36" s="9" t="s">
        <v>30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9" t="s">
        <v>30</v>
      </c>
    </row>
    <row r="37">
      <c r="A37" s="24" t="s">
        <v>96</v>
      </c>
      <c r="B37" s="24" t="s">
        <v>97</v>
      </c>
      <c r="C37" s="9" t="s">
        <v>98</v>
      </c>
      <c r="D37" s="9"/>
      <c r="E37" s="21" t="str">
        <f t="array" ref="E37">IFERROR(INDEX(Hospedaje!$A$2:$A$32, MATCH(TRUE, BYROW(Hospedaje!$E$2:$S$32, LAMBDA(fila, COUNTIF(fila, A37)&gt;0)), 0)),"-")</f>
        <v>Viajeros 1</v>
      </c>
      <c r="F37" s="9">
        <v>1.0</v>
      </c>
      <c r="G37" s="9">
        <v>1.0</v>
      </c>
      <c r="I37" s="21" t="str">
        <f>IF(COUNTIF(Hospedaje!$E$2:$S$32,A37)=1,"Sí",IF(COUNTIF(Hospedaje!$E$2:$S$32,A37)=0,"No","DUPLICADO"))</f>
        <v>Sí</v>
      </c>
      <c r="J37" s="9" t="s">
        <v>98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9" t="s">
        <v>30</v>
      </c>
    </row>
    <row r="38">
      <c r="A38" s="24" t="s">
        <v>99</v>
      </c>
      <c r="B38" s="23"/>
      <c r="C38" s="9" t="s">
        <v>100</v>
      </c>
      <c r="D38" s="9"/>
      <c r="E38" s="21" t="str">
        <f t="array" ref="E38">IFERROR(INDEX(Hospedaje!$A$2:$A$32, MATCH(TRUE, BYROW(Hospedaje!$E$2:$S$32, LAMBDA(fila, COUNTIF(fila, A38)&gt;0)), 0)),"-")</f>
        <v>Zoo</v>
      </c>
      <c r="F38" s="9">
        <v>0.0</v>
      </c>
      <c r="G38" s="9">
        <v>6.0</v>
      </c>
      <c r="I38" s="21" t="str">
        <f>IF(COUNTIF(Hospedaje!$E$2:$S$32,A38)=1,"Sí",IF(COUNTIF(Hospedaje!$E$2:$S$32,A38)=0,"No","DUPLICADO"))</f>
        <v>Sí</v>
      </c>
      <c r="J38" s="9" t="s">
        <v>100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9" t="s">
        <v>30</v>
      </c>
    </row>
    <row r="39">
      <c r="A39" s="24" t="s">
        <v>101</v>
      </c>
      <c r="B39" s="24" t="s">
        <v>102</v>
      </c>
      <c r="C39" s="9" t="s">
        <v>30</v>
      </c>
      <c r="D39" s="9"/>
      <c r="E39" s="21" t="str">
        <f t="array" ref="E39">IFERROR(INDEX(Hospedaje!$A$2:$A$32, MATCH(TRUE, BYROW(Hospedaje!$E$2:$S$32, LAMBDA(fila, COUNTIF(fila, A39)&gt;0)), 0)),"-")</f>
        <v>-</v>
      </c>
      <c r="F39" s="9">
        <v>1.0</v>
      </c>
      <c r="G39" s="9">
        <v>0.0</v>
      </c>
      <c r="I39" s="21" t="str">
        <f>IF(COUNTIF(Hospedaje!$E$2:$S$32,A39)=1,"Sí",IF(COUNTIF(Hospedaje!$E$2:$S$32,A39)=0,"No","DUPLICADO"))</f>
        <v>No</v>
      </c>
      <c r="J39" s="9" t="s">
        <v>29</v>
      </c>
      <c r="K39" s="9" t="s">
        <v>32</v>
      </c>
      <c r="L39" s="9" t="s">
        <v>45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9" t="s">
        <v>30</v>
      </c>
    </row>
    <row r="40">
      <c r="A40" s="24" t="s">
        <v>103</v>
      </c>
      <c r="B40" s="23"/>
      <c r="C40" s="9" t="s">
        <v>30</v>
      </c>
      <c r="D40" s="9"/>
      <c r="E40" s="21" t="str">
        <f t="array" ref="E40">IFERROR(INDEX(Hospedaje!$A$2:$A$32, MATCH(TRUE, BYROW(Hospedaje!$E$2:$S$32, LAMBDA(fila, COUNTIF(fila, A40)&gt;0)), 0)),"-")</f>
        <v>Zoo</v>
      </c>
      <c r="F40" s="9">
        <v>1.0</v>
      </c>
      <c r="G40" s="9">
        <v>0.5</v>
      </c>
      <c r="I40" s="21" t="str">
        <f>IF(COUNTIF(Hospedaje!$E$2:$S$32,A40)=1,"Sí",IF(COUNTIF(Hospedaje!$E$2:$S$32,A40)=0,"No","DUPLICADO"))</f>
        <v>Sí</v>
      </c>
      <c r="J40" s="9" t="s">
        <v>32</v>
      </c>
      <c r="K40" s="9" t="s">
        <v>45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9" t="s">
        <v>30</v>
      </c>
    </row>
    <row r="41">
      <c r="A41" s="23" t="s">
        <v>104</v>
      </c>
      <c r="B41" s="24" t="s">
        <v>105</v>
      </c>
      <c r="C41" s="9" t="s">
        <v>106</v>
      </c>
      <c r="D41" s="9"/>
      <c r="E41" s="21" t="str">
        <f t="array" ref="E41">IFERROR(INDEX(Hospedaje!$A$2:$A$32, MATCH(TRUE, BYROW(Hospedaje!$E$2:$S$32, LAMBDA(fila, COUNTIF(fila, A41)&gt;0)), 0)),"-")</f>
        <v>Familias Kalsgard</v>
      </c>
      <c r="F41" s="9">
        <v>1.0</v>
      </c>
      <c r="G41" s="9">
        <v>1.0</v>
      </c>
      <c r="I41" s="21" t="str">
        <f>IF(COUNTIF(Hospedaje!$E$2:$S$32,A41)=1,"Sí",IF(COUNTIF(Hospedaje!$E$2:$S$32,A41)=0,"No","DUPLICADO"))</f>
        <v>Sí</v>
      </c>
      <c r="J41" s="9" t="s">
        <v>106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9" t="s">
        <v>30</v>
      </c>
    </row>
    <row r="42">
      <c r="A42" s="23" t="s">
        <v>107</v>
      </c>
      <c r="B42" s="24" t="s">
        <v>108</v>
      </c>
      <c r="C42" s="9" t="s">
        <v>106</v>
      </c>
      <c r="D42" s="9"/>
      <c r="E42" s="21" t="str">
        <f t="array" ref="E42">IFERROR(INDEX(Hospedaje!$A$2:$A$32, MATCH(TRUE, BYROW(Hospedaje!$E$2:$S$32, LAMBDA(fila, COUNTIF(fila, A42)&gt;0)), 0)),"-")</f>
        <v>Familias Kalsgard</v>
      </c>
      <c r="F42" s="9">
        <v>1.0</v>
      </c>
      <c r="G42" s="9">
        <v>1.0</v>
      </c>
      <c r="I42" s="21" t="str">
        <f>IF(COUNTIF(Hospedaje!$E$2:$S$32,A42)=1,"Sí",IF(COUNTIF(Hospedaje!$E$2:$S$32,A42)=0,"No","DUPLICADO"))</f>
        <v>Sí</v>
      </c>
      <c r="J42" s="9" t="s">
        <v>106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9" t="s">
        <v>30</v>
      </c>
    </row>
    <row r="43">
      <c r="A43" s="23" t="s">
        <v>109</v>
      </c>
      <c r="B43" s="24" t="s">
        <v>110</v>
      </c>
      <c r="C43" s="9" t="s">
        <v>111</v>
      </c>
      <c r="D43" s="9"/>
      <c r="E43" s="21" t="str">
        <f t="array" ref="E43">IFERROR(INDEX(Hospedaje!$A$2:$A$32, MATCH(TRUE, BYROW(Hospedaje!$E$2:$S$32, LAMBDA(fila, COUNTIF(fila, A43)&gt;0)), 0)),"-")</f>
        <v>Familias Kalsgard</v>
      </c>
      <c r="F43" s="9">
        <v>1.0</v>
      </c>
      <c r="G43" s="9">
        <v>1.0</v>
      </c>
      <c r="I43" s="21" t="str">
        <f>IF(COUNTIF(Hospedaje!$E$2:$S$32,A43)=1,"Sí",IF(COUNTIF(Hospedaje!$E$2:$S$32,A43)=0,"No","DUPLICADO"))</f>
        <v>Sí</v>
      </c>
      <c r="J43" s="9" t="s">
        <v>111</v>
      </c>
      <c r="K43" s="9" t="s">
        <v>106</v>
      </c>
      <c r="L43" s="9" t="s">
        <v>29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9" t="s">
        <v>30</v>
      </c>
    </row>
    <row r="44">
      <c r="A44" s="23" t="s">
        <v>112</v>
      </c>
      <c r="B44" s="24" t="s">
        <v>113</v>
      </c>
      <c r="C44" s="9" t="s">
        <v>56</v>
      </c>
      <c r="D44" s="9"/>
      <c r="E44" s="21" t="str">
        <f t="array" ref="E44">IFERROR(INDEX(Hospedaje!$A$2:$A$32, MATCH(TRUE, BYROW(Hospedaje!$E$2:$S$32, LAMBDA(fila, COUNTIF(fila, A44)&gt;0)), 0)),"-")</f>
        <v>Familias Kalsgard</v>
      </c>
      <c r="F44" s="9">
        <v>1.0</v>
      </c>
      <c r="G44" s="9">
        <v>1.0</v>
      </c>
      <c r="I44" s="21" t="str">
        <f>IF(COUNTIF(Hospedaje!$E$2:$S$32,A44)=1,"Sí",IF(COUNTIF(Hospedaje!$E$2:$S$32,A44)=0,"No","DUPLICADO"))</f>
        <v>Sí</v>
      </c>
      <c r="J44" s="9" t="s">
        <v>56</v>
      </c>
      <c r="K44" s="9" t="s">
        <v>98</v>
      </c>
      <c r="L44" s="9" t="s">
        <v>106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9" t="s">
        <v>30</v>
      </c>
    </row>
    <row r="45">
      <c r="A45" s="23" t="s">
        <v>114</v>
      </c>
      <c r="B45" s="24" t="s">
        <v>115</v>
      </c>
      <c r="C45" s="9" t="s">
        <v>111</v>
      </c>
      <c r="D45" s="9"/>
      <c r="E45" s="21" t="str">
        <f t="array" ref="E45">IFERROR(INDEX(Hospedaje!$A$2:$A$32, MATCH(TRUE, BYROW(Hospedaje!$E$2:$S$32, LAMBDA(fila, COUNTIF(fila, A45)&gt;0)), 0)),"-")</f>
        <v>Familias Kalsgard</v>
      </c>
      <c r="F45" s="9">
        <v>1.0</v>
      </c>
      <c r="G45" s="9">
        <v>0.5</v>
      </c>
      <c r="I45" s="21" t="str">
        <f>IF(COUNTIF(Hospedaje!$E$2:$S$32,A45)=1,"Sí",IF(COUNTIF(Hospedaje!$E$2:$S$32,A45)=0,"No","DUPLICADO"))</f>
        <v>Sí</v>
      </c>
      <c r="J45" s="9" t="s">
        <v>111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9" t="s">
        <v>30</v>
      </c>
    </row>
    <row r="46">
      <c r="A46" s="23" t="s">
        <v>116</v>
      </c>
      <c r="B46" s="24" t="s">
        <v>117</v>
      </c>
      <c r="C46" s="9" t="s">
        <v>98</v>
      </c>
      <c r="D46" s="9"/>
      <c r="E46" s="21" t="str">
        <f t="array" ref="E46">IFERROR(INDEX(Hospedaje!$A$2:$A$32, MATCH(TRUE, BYROW(Hospedaje!$E$2:$S$32, LAMBDA(fila, COUNTIF(fila, A46)&gt;0)), 0)),"-")</f>
        <v>Familias Kalsgard</v>
      </c>
      <c r="F46" s="9">
        <v>1.0</v>
      </c>
      <c r="G46" s="9">
        <v>1.0</v>
      </c>
      <c r="I46" s="21" t="str">
        <f>IF(COUNTIF(Hospedaje!$E$2:$S$32,A46)=1,"Sí",IF(COUNTIF(Hospedaje!$E$2:$S$32,A46)=0,"No","DUPLICADO"))</f>
        <v>Sí</v>
      </c>
      <c r="J46" s="9" t="s">
        <v>98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9" t="s">
        <v>30</v>
      </c>
    </row>
    <row r="47">
      <c r="A47" s="23" t="s">
        <v>118</v>
      </c>
      <c r="B47" s="24" t="s">
        <v>119</v>
      </c>
      <c r="C47" s="9" t="s">
        <v>30</v>
      </c>
      <c r="D47" s="9"/>
      <c r="E47" s="21" t="str">
        <f t="array" ref="E47">IFERROR(INDEX(Hospedaje!$A$2:$A$32, MATCH(TRUE, BYROW(Hospedaje!$E$2:$S$32, LAMBDA(fila, COUNTIF(fila, A47)&gt;0)), 0)),"-")</f>
        <v>Familias Kalsgard</v>
      </c>
      <c r="F47" s="9">
        <v>1.0</v>
      </c>
      <c r="G47" s="9">
        <v>0.5</v>
      </c>
      <c r="I47" s="21" t="str">
        <f>IF(COUNTIF(Hospedaje!$E$2:$S$32,A47)=1,"Sí",IF(COUNTIF(Hospedaje!$E$2:$S$32,A47)=0,"No","DUPLICADO"))</f>
        <v>Sí</v>
      </c>
      <c r="J47" s="9" t="s">
        <v>30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9" t="s">
        <v>30</v>
      </c>
    </row>
    <row r="48">
      <c r="A48" s="23" t="s">
        <v>120</v>
      </c>
      <c r="B48" s="24" t="s">
        <v>121</v>
      </c>
      <c r="C48" s="9" t="s">
        <v>30</v>
      </c>
      <c r="D48" s="9"/>
      <c r="E48" s="21" t="str">
        <f t="array" ref="E48">IFERROR(INDEX(Hospedaje!$A$2:$A$32, MATCH(TRUE, BYROW(Hospedaje!$E$2:$S$32, LAMBDA(fila, COUNTIF(fila, A48)&gt;0)), 0)),"-")</f>
        <v>Familias Kalsgard</v>
      </c>
      <c r="F48" s="9">
        <v>1.0</v>
      </c>
      <c r="G48" s="9">
        <v>0.5</v>
      </c>
      <c r="I48" s="21" t="str">
        <f>IF(COUNTIF(Hospedaje!$E$2:$S$32,A48)=1,"Sí",IF(COUNTIF(Hospedaje!$E$2:$S$32,A48)=0,"No","DUPLICADO"))</f>
        <v>Sí</v>
      </c>
      <c r="J48" s="9" t="s">
        <v>30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9" t="s">
        <v>30</v>
      </c>
    </row>
    <row r="49">
      <c r="A49" s="23" t="s">
        <v>122</v>
      </c>
      <c r="B49" s="24" t="s">
        <v>123</v>
      </c>
      <c r="C49" s="9" t="s">
        <v>32</v>
      </c>
      <c r="D49" s="9"/>
      <c r="E49" s="21" t="str">
        <f t="array" ref="E49">IFERROR(INDEX(Hospedaje!$A$2:$A$32, MATCH(TRUE, BYROW(Hospedaje!$E$2:$S$32, LAMBDA(fila, COUNTIF(fila, A49)&gt;0)), 0)),"-")</f>
        <v>Viajeros 2</v>
      </c>
      <c r="F49" s="9">
        <v>1.0</v>
      </c>
      <c r="G49" s="9">
        <v>1.0</v>
      </c>
      <c r="I49" s="21" t="str">
        <f>IF(COUNTIF(Hospedaje!$E$2:$S$32,A49)=1,"Sí",IF(COUNTIF(Hospedaje!$E$2:$S$32,A49)=0,"No","DUPLICADO"))</f>
        <v>Sí</v>
      </c>
      <c r="J49" s="9" t="s">
        <v>32</v>
      </c>
      <c r="K49" s="9" t="s">
        <v>29</v>
      </c>
      <c r="L49" s="9" t="s">
        <v>45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9" t="s">
        <v>30</v>
      </c>
    </row>
    <row r="50">
      <c r="A50" s="23" t="s">
        <v>124</v>
      </c>
      <c r="B50" s="24" t="s">
        <v>125</v>
      </c>
      <c r="C50" s="9" t="s">
        <v>42</v>
      </c>
      <c r="D50" s="9"/>
      <c r="E50" s="21" t="str">
        <f t="array" ref="E50">IFERROR(INDEX(Hospedaje!$A$2:$A$32, MATCH(TRUE, BYROW(Hospedaje!$E$2:$S$32, LAMBDA(fila, COUNTIF(fila, A50)&gt;0)), 0)),"-")</f>
        <v>Viajeros 2</v>
      </c>
      <c r="F50" s="9">
        <v>1.0</v>
      </c>
      <c r="G50" s="9">
        <v>1.0</v>
      </c>
      <c r="I50" s="21" t="str">
        <f>IF(COUNTIF(Hospedaje!$E$2:$S$32,A50)=1,"Sí",IF(COUNTIF(Hospedaje!$E$2:$S$32,A50)=0,"No","DUPLICADO"))</f>
        <v>Sí</v>
      </c>
      <c r="J50" s="9" t="s">
        <v>42</v>
      </c>
      <c r="K50" s="9" t="s">
        <v>41</v>
      </c>
      <c r="L50" s="9" t="s">
        <v>43</v>
      </c>
      <c r="M50" s="9" t="s">
        <v>52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9" t="s">
        <v>30</v>
      </c>
    </row>
    <row r="51">
      <c r="A51" s="23" t="s">
        <v>126</v>
      </c>
      <c r="B51" s="24" t="s">
        <v>127</v>
      </c>
      <c r="C51" s="9" t="s">
        <v>30</v>
      </c>
      <c r="D51" s="22"/>
      <c r="E51" s="21" t="str">
        <f t="array" ref="E51">IFERROR(INDEX(Hospedaje!$A$2:$A$32, MATCH(TRUE, BYROW(Hospedaje!$E$2:$S$32, LAMBDA(fila, COUNTIF(fila, A51)&gt;0)), 0)),"-")</f>
        <v>Viajeros 2</v>
      </c>
      <c r="F51" s="9">
        <v>1.0</v>
      </c>
      <c r="G51" s="9">
        <v>1.0</v>
      </c>
      <c r="I51" s="21" t="str">
        <f>IF(COUNTIF(Hospedaje!$E$2:$S$32,A51)=1,"Sí",IF(COUNTIF(Hospedaje!$E$2:$S$32,A51)=0,"No","DUPLICADO"))</f>
        <v>Sí</v>
      </c>
      <c r="J51" s="9" t="s">
        <v>53</v>
      </c>
      <c r="K51" s="9" t="s">
        <v>32</v>
      </c>
      <c r="L51" s="9" t="s">
        <v>29</v>
      </c>
      <c r="M51" s="9" t="s">
        <v>77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9" t="s">
        <v>30</v>
      </c>
    </row>
    <row r="52">
      <c r="A52" s="23" t="s">
        <v>128</v>
      </c>
      <c r="B52" s="24" t="s">
        <v>129</v>
      </c>
      <c r="C52" s="9" t="s">
        <v>32</v>
      </c>
      <c r="D52" s="9"/>
      <c r="E52" s="21" t="str">
        <f t="array" ref="E52">IFERROR(INDEX(Hospedaje!$A$2:$A$32, MATCH(TRUE, BYROW(Hospedaje!$E$2:$S$32, LAMBDA(fila, COUNTIF(fila, A52)&gt;0)), 0)),"-")</f>
        <v>Viajeros 2</v>
      </c>
      <c r="F52" s="9">
        <v>1.0</v>
      </c>
      <c r="G52" s="9">
        <v>1.0</v>
      </c>
      <c r="I52" s="21" t="str">
        <f>IF(COUNTIF(Hospedaje!$E$2:$S$32,A52)=1,"Sí",IF(COUNTIF(Hospedaje!$E$2:$S$32,A52)=0,"No","DUPLICADO"))</f>
        <v>Sí</v>
      </c>
      <c r="J52" s="9" t="s">
        <v>32</v>
      </c>
      <c r="K52" s="9" t="s">
        <v>106</v>
      </c>
      <c r="L52" s="9" t="s">
        <v>39</v>
      </c>
      <c r="M52" s="9" t="s">
        <v>45</v>
      </c>
      <c r="N52" s="9" t="s">
        <v>28</v>
      </c>
      <c r="O52" s="9" t="s">
        <v>49</v>
      </c>
      <c r="P52" s="9" t="s">
        <v>42</v>
      </c>
      <c r="Q52" s="9" t="s">
        <v>51</v>
      </c>
      <c r="R52" s="9" t="s">
        <v>29</v>
      </c>
      <c r="S52" s="9" t="s">
        <v>34</v>
      </c>
      <c r="T52" s="9" t="s">
        <v>48</v>
      </c>
      <c r="U52" s="9" t="s">
        <v>59</v>
      </c>
      <c r="V52" s="22"/>
      <c r="W52" s="22"/>
      <c r="X52" s="22"/>
      <c r="Y52" s="22"/>
      <c r="Z52" s="22"/>
      <c r="AA52" s="22"/>
      <c r="AB52" s="22"/>
      <c r="AC52" s="22"/>
      <c r="AD52" s="9" t="s">
        <v>30</v>
      </c>
    </row>
    <row r="53">
      <c r="A53" s="23" t="s">
        <v>130</v>
      </c>
      <c r="B53" s="23"/>
      <c r="C53" s="9" t="s">
        <v>30</v>
      </c>
      <c r="D53" s="22"/>
      <c r="E53" s="21" t="str">
        <f t="array" ref="E53">IFERROR(INDEX(Hospedaje!$A$2:$A$32, MATCH(TRUE, BYROW(Hospedaje!$E$2:$S$32, LAMBDA(fila, COUNTIF(fila, A53)&gt;0)), 0)),"-")</f>
        <v>Huerto 1</v>
      </c>
      <c r="F53" s="9">
        <v>2.0</v>
      </c>
      <c r="G53" s="9">
        <v>2.0</v>
      </c>
      <c r="I53" s="21" t="str">
        <f>IF(COUNTIF(Hospedaje!$E$2:$S$32,A53)=1,"Sí",IF(COUNTIF(Hospedaje!$E$2:$S$32,A53)=0,"No","DUPLICADO"))</f>
        <v>Sí</v>
      </c>
      <c r="J53" s="9" t="s">
        <v>29</v>
      </c>
      <c r="K53" s="9" t="s">
        <v>32</v>
      </c>
      <c r="L53" s="9" t="s">
        <v>45</v>
      </c>
      <c r="M53" s="9" t="s">
        <v>75</v>
      </c>
      <c r="N53" s="9" t="s">
        <v>46</v>
      </c>
      <c r="O53" s="9" t="s">
        <v>47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9" t="s">
        <v>30</v>
      </c>
    </row>
    <row r="54">
      <c r="A54" s="23" t="s">
        <v>131</v>
      </c>
      <c r="B54" s="24" t="s">
        <v>132</v>
      </c>
      <c r="C54" s="9" t="s">
        <v>35</v>
      </c>
      <c r="D54" s="9"/>
      <c r="E54" s="21" t="str">
        <f t="array" ref="E54">IFERROR(INDEX(Hospedaje!$A$2:$A$32, MATCH(TRUE, BYROW(Hospedaje!$E$2:$S$32, LAMBDA(fila, COUNTIF(fila, A54)&gt;0)), 0)),"-")</f>
        <v>Viajeros 3</v>
      </c>
      <c r="F54" s="9">
        <v>1.0</v>
      </c>
      <c r="G54" s="9">
        <v>1.0</v>
      </c>
      <c r="I54" s="21" t="str">
        <f>IF(COUNTIF(Hospedaje!$E$2:$S$32,A54)=1,"Sí",IF(COUNTIF(Hospedaje!$E$2:$S$32,A54)=0,"No","DUPLICADO"))</f>
        <v>Sí</v>
      </c>
      <c r="J54" s="9" t="s">
        <v>35</v>
      </c>
      <c r="K54" s="9" t="s">
        <v>55</v>
      </c>
      <c r="L54" s="9" t="s">
        <v>39</v>
      </c>
      <c r="M54" s="9" t="s">
        <v>43</v>
      </c>
      <c r="N54" s="9" t="s">
        <v>52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9" t="s">
        <v>30</v>
      </c>
    </row>
    <row r="55">
      <c r="A55" s="23" t="s">
        <v>133</v>
      </c>
      <c r="B55" s="24" t="s">
        <v>134</v>
      </c>
      <c r="C55" s="9" t="s">
        <v>42</v>
      </c>
      <c r="D55" s="9"/>
      <c r="E55" s="21" t="str">
        <f t="array" ref="E55">IFERROR(INDEX(Hospedaje!$A$2:$A$32, MATCH(TRUE, BYROW(Hospedaje!$E$2:$S$32, LAMBDA(fila, COUNTIF(fila, A55)&gt;0)), 0)),"-")</f>
        <v>Viajeros 4</v>
      </c>
      <c r="F55" s="9">
        <v>1.0</v>
      </c>
      <c r="G55" s="9">
        <v>1.0</v>
      </c>
      <c r="H55" s="9">
        <v>12.0</v>
      </c>
      <c r="I55" s="21" t="str">
        <f>IF(COUNTIF(Hospedaje!$E$2:$S$32,A55)=1,"Sí",IF(COUNTIF(Hospedaje!$E$2:$S$32,A55)=0,"No","DUPLICADO"))</f>
        <v>Sí</v>
      </c>
      <c r="J55" s="9" t="s">
        <v>42</v>
      </c>
      <c r="K55" s="9" t="s">
        <v>51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9" t="s">
        <v>30</v>
      </c>
    </row>
    <row r="56">
      <c r="A56" s="24" t="s">
        <v>135</v>
      </c>
      <c r="B56" s="24" t="s">
        <v>136</v>
      </c>
      <c r="C56" s="9" t="s">
        <v>30</v>
      </c>
      <c r="D56" s="9"/>
      <c r="E56" s="21" t="str">
        <f t="array" ref="E56">IFERROR(INDEX(Hospedaje!$A$2:$A$32, MATCH(TRUE, BYROW(Hospedaje!$E$2:$S$32, LAMBDA(fila, COUNTIF(fila, A56)&gt;0)), 0)),"-")</f>
        <v>Cómodo 1</v>
      </c>
      <c r="F56" s="9">
        <v>0.0</v>
      </c>
      <c r="G56" s="9">
        <v>0.0</v>
      </c>
      <c r="I56" s="21" t="str">
        <f>IF(COUNTIF(Hospedaje!$E$2:$S$32,A56)=1,"Sí",IF(COUNTIF(Hospedaje!$E$2:$S$32,A56)=0,"No","DUPLICADO"))</f>
        <v>Sí</v>
      </c>
      <c r="J56" s="9" t="s">
        <v>29</v>
      </c>
      <c r="K56" s="9" t="s">
        <v>32</v>
      </c>
      <c r="L56" s="9" t="s">
        <v>58</v>
      </c>
      <c r="M56" s="9" t="s">
        <v>49</v>
      </c>
      <c r="N56" s="9"/>
      <c r="O56" s="9"/>
      <c r="P56" s="9"/>
      <c r="Q56" s="9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9" t="s">
        <v>30</v>
      </c>
    </row>
    <row r="57">
      <c r="A57" s="23" t="s">
        <v>137</v>
      </c>
      <c r="B57" s="23"/>
      <c r="C57" s="9" t="s">
        <v>34</v>
      </c>
      <c r="D57" s="9"/>
      <c r="E57" s="21" t="str">
        <f t="array" ref="E57">IFERROR(INDEX(Hospedaje!$A$2:$A$32, MATCH(TRUE, BYROW(Hospedaje!$E$2:$S$32, LAMBDA(fila, COUNTIF(fila, A57)&gt;0)), 0)),"-")</f>
        <v>Cómodo 2</v>
      </c>
      <c r="F57" s="9">
        <v>1.0</v>
      </c>
      <c r="G57" s="9">
        <v>1.0</v>
      </c>
      <c r="I57" s="21" t="str">
        <f>IF(COUNTIF(Hospedaje!$E$2:$S$32,A57)=1,"Sí",IF(COUNTIF(Hospedaje!$E$2:$S$32,A57)=0,"No","DUPLICADO"))</f>
        <v>Sí</v>
      </c>
      <c r="J57" s="9" t="s">
        <v>34</v>
      </c>
      <c r="K57" s="9" t="s">
        <v>29</v>
      </c>
      <c r="L57" s="9" t="s">
        <v>45</v>
      </c>
      <c r="M57" s="9" t="s">
        <v>32</v>
      </c>
      <c r="N57" s="9" t="s">
        <v>51</v>
      </c>
      <c r="O57" s="9" t="s">
        <v>47</v>
      </c>
      <c r="P57" s="9" t="s">
        <v>46</v>
      </c>
      <c r="Q57" s="9" t="s">
        <v>49</v>
      </c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9" t="s">
        <v>30</v>
      </c>
    </row>
    <row r="58">
      <c r="A58" s="23" t="s">
        <v>138</v>
      </c>
      <c r="B58" s="24" t="s">
        <v>139</v>
      </c>
      <c r="C58" s="9" t="s">
        <v>42</v>
      </c>
      <c r="D58" s="9"/>
      <c r="E58" s="21" t="str">
        <f t="array" ref="E58">IFERROR(INDEX(Hospedaje!$A$2:$A$32, MATCH(TRUE, BYROW(Hospedaje!$E$2:$S$32, LAMBDA(fila, COUNTIF(fila, A58)&gt;0)), 0)),"-")</f>
        <v>Queso</v>
      </c>
      <c r="F58" s="9">
        <v>1.0</v>
      </c>
      <c r="G58" s="9">
        <v>1.0</v>
      </c>
      <c r="I58" s="21" t="str">
        <f>IF(COUNTIF(Hospedaje!$E$2:$S$32,A58)=1,"Sí",IF(COUNTIF(Hospedaje!$E$2:$S$32,A58)=0,"No","DUPLICADO"))</f>
        <v>Sí</v>
      </c>
      <c r="J58" s="9" t="s">
        <v>42</v>
      </c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9" t="s">
        <v>30</v>
      </c>
    </row>
    <row r="59">
      <c r="A59" s="23" t="s">
        <v>140</v>
      </c>
      <c r="B59" s="24" t="s">
        <v>141</v>
      </c>
      <c r="C59" s="9" t="s">
        <v>30</v>
      </c>
      <c r="D59" s="9"/>
      <c r="E59" s="21" t="str">
        <f t="array" ref="E59">IFERROR(INDEX(Hospedaje!$A$2:$A$32, MATCH(TRUE, BYROW(Hospedaje!$E$2:$S$32, LAMBDA(fila, COUNTIF(fila, A59)&gt;0)), 0)),"-")</f>
        <v>Viajeros 4</v>
      </c>
      <c r="F59" s="9">
        <v>1.0</v>
      </c>
      <c r="G59" s="9">
        <v>1.0</v>
      </c>
      <c r="I59" s="21" t="str">
        <f>IF(COUNTIF(Hospedaje!$E$2:$S$32,A59)=1,"Sí",IF(COUNTIF(Hospedaje!$E$2:$S$32,A59)=0,"No","DUPLICADO"))</f>
        <v>Sí</v>
      </c>
      <c r="J59" s="9" t="s">
        <v>30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9" t="s">
        <v>30</v>
      </c>
    </row>
    <row r="60">
      <c r="A60" s="23" t="s">
        <v>142</v>
      </c>
      <c r="B60" s="24" t="s">
        <v>143</v>
      </c>
      <c r="C60" s="9" t="s">
        <v>30</v>
      </c>
      <c r="D60" s="22"/>
      <c r="E60" s="21" t="str">
        <f t="array" ref="E60">IFERROR(INDEX(Hospedaje!$A$2:$A$32, MATCH(TRUE, BYROW(Hospedaje!$E$2:$S$32, LAMBDA(fila, COUNTIF(fila, A60)&gt;0)), 0)),"-")</f>
        <v>Viajeros 5</v>
      </c>
      <c r="F60" s="9">
        <v>1.0</v>
      </c>
      <c r="G60" s="9">
        <v>1.0</v>
      </c>
      <c r="I60" s="21" t="str">
        <f>IF(COUNTIF(Hospedaje!$E$2:$S$32,A60)=1,"Sí",IF(COUNTIF(Hospedaje!$E$2:$S$32,A60)=0,"No","DUPLICADO"))</f>
        <v>Sí</v>
      </c>
      <c r="J60" s="9" t="s">
        <v>45</v>
      </c>
      <c r="K60" s="9" t="s">
        <v>43</v>
      </c>
      <c r="L60" s="9" t="s">
        <v>53</v>
      </c>
      <c r="M60" s="9" t="s">
        <v>52</v>
      </c>
      <c r="N60" s="9" t="s">
        <v>32</v>
      </c>
      <c r="O60" s="9" t="s">
        <v>29</v>
      </c>
      <c r="P60" s="9" t="s">
        <v>29</v>
      </c>
      <c r="Q60" s="9" t="s">
        <v>48</v>
      </c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9" t="s">
        <v>30</v>
      </c>
    </row>
    <row r="61">
      <c r="A61" s="23" t="s">
        <v>144</v>
      </c>
      <c r="B61" s="24" t="s">
        <v>145</v>
      </c>
      <c r="C61" s="9" t="s">
        <v>30</v>
      </c>
      <c r="D61" s="22"/>
      <c r="E61" s="21" t="str">
        <f t="array" ref="E61">IFERROR(INDEX(Hospedaje!$A$2:$A$32, MATCH(TRUE, BYROW(Hospedaje!$E$2:$S$32, LAMBDA(fila, COUNTIF(fila, A61)&gt;0)), 0)),"-")</f>
        <v>Viajeros 5</v>
      </c>
      <c r="F61" s="9">
        <v>1.0</v>
      </c>
      <c r="G61" s="9">
        <v>1.0</v>
      </c>
      <c r="I61" s="21" t="str">
        <f>IF(COUNTIF(Hospedaje!$E$2:$S$32,A61)=1,"Sí",IF(COUNTIF(Hospedaje!$E$2:$S$32,A61)=0,"No","DUPLICADO"))</f>
        <v>Sí</v>
      </c>
      <c r="J61" s="9" t="s">
        <v>45</v>
      </c>
      <c r="K61" s="9" t="s">
        <v>146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9" t="s">
        <v>30</v>
      </c>
    </row>
    <row r="62">
      <c r="A62" s="23" t="s">
        <v>147</v>
      </c>
      <c r="B62" s="24" t="s">
        <v>148</v>
      </c>
      <c r="C62" s="9" t="s">
        <v>30</v>
      </c>
      <c r="D62" s="22"/>
      <c r="E62" s="21" t="str">
        <f t="array" ref="E62">IFERROR(INDEX(Hospedaje!$A$2:$A$32, MATCH(TRUE, BYROW(Hospedaje!$E$2:$S$32, LAMBDA(fila, COUNTIF(fila, A62)&gt;0)), 0)),"-")</f>
        <v>Viajeros 5</v>
      </c>
      <c r="F62" s="9">
        <v>1.0</v>
      </c>
      <c r="G62" s="9">
        <v>1.0</v>
      </c>
      <c r="I62" s="21" t="str">
        <f>IF(COUNTIF(Hospedaje!$E$2:$S$32,A62)=1,"Sí",IF(COUNTIF(Hospedaje!$E$2:$S$32,A62)=0,"No","DUPLICADO"))</f>
        <v>Sí</v>
      </c>
      <c r="J62" s="9" t="s">
        <v>45</v>
      </c>
      <c r="K62" s="9" t="s">
        <v>149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9" t="s">
        <v>30</v>
      </c>
    </row>
    <row r="63">
      <c r="A63" s="23" t="s">
        <v>150</v>
      </c>
      <c r="B63" s="23"/>
      <c r="C63" s="9" t="s">
        <v>106</v>
      </c>
      <c r="D63" s="9"/>
      <c r="E63" s="21" t="str">
        <f t="array" ref="E63">IFERROR(INDEX(Hospedaje!$A$2:$A$32, MATCH(TRUE, BYROW(Hospedaje!$E$2:$S$32, LAMBDA(fila, COUNTIF(fila, A63)&gt;0)), 0)),"-")</f>
        <v>Viajeros 3</v>
      </c>
      <c r="F63" s="9">
        <v>1.0</v>
      </c>
      <c r="G63" s="9">
        <v>1.0</v>
      </c>
      <c r="H63" s="9">
        <v>10.0</v>
      </c>
      <c r="I63" s="21" t="str">
        <f>IF(COUNTIF(Hospedaje!$E$2:$S$32,A63)=1,"Sí",IF(COUNTIF(Hospedaje!$E$2:$S$32,A63)=0,"No","DUPLICADO"))</f>
        <v>Sí</v>
      </c>
      <c r="J63" s="9" t="s">
        <v>106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9" t="s">
        <v>30</v>
      </c>
    </row>
    <row r="64">
      <c r="A64" s="23" t="s">
        <v>151</v>
      </c>
      <c r="B64" s="23"/>
      <c r="C64" s="9" t="s">
        <v>106</v>
      </c>
      <c r="D64" s="9"/>
      <c r="E64" s="21" t="str">
        <f t="array" ref="E64">IFERROR(INDEX(Hospedaje!$A$2:$A$32, MATCH(TRUE, BYROW(Hospedaje!$E$2:$S$32, LAMBDA(fila, COUNTIF(fila, A64)&gt;0)), 0)),"-")</f>
        <v>Viajeros 3</v>
      </c>
      <c r="F64" s="9">
        <v>1.0</v>
      </c>
      <c r="G64" s="9">
        <v>1.0</v>
      </c>
      <c r="H64" s="9">
        <v>10.0</v>
      </c>
      <c r="I64" s="21" t="str">
        <f>IF(COUNTIF(Hospedaje!$E$2:$S$32,A64)=1,"Sí",IF(COUNTIF(Hospedaje!$E$2:$S$32,A64)=0,"No","DUPLICADO"))</f>
        <v>Sí</v>
      </c>
      <c r="J64" s="9" t="s">
        <v>106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9" t="s">
        <v>30</v>
      </c>
    </row>
    <row r="65">
      <c r="A65" s="23" t="s">
        <v>152</v>
      </c>
      <c r="B65" s="23"/>
      <c r="C65" s="9" t="s">
        <v>42</v>
      </c>
      <c r="D65" s="9"/>
      <c r="E65" s="21" t="str">
        <f t="array" ref="E65">IFERROR(INDEX(Hospedaje!$A$2:$A$32, MATCH(TRUE, BYROW(Hospedaje!$E$2:$S$32, LAMBDA(fila, COUNTIF(fila, A65)&gt;0)), 0)),"-")</f>
        <v>Viajeros 3</v>
      </c>
      <c r="F65" s="9">
        <v>1.0</v>
      </c>
      <c r="G65" s="9">
        <v>1.0</v>
      </c>
      <c r="H65" s="9">
        <v>10.0</v>
      </c>
      <c r="I65" s="21" t="str">
        <f>IF(COUNTIF(Hospedaje!$E$2:$S$32,A65)=1,"Sí",IF(COUNTIF(Hospedaje!$E$2:$S$32,A65)=0,"No","DUPLICADO"))</f>
        <v>Sí</v>
      </c>
      <c r="J65" s="9" t="s">
        <v>42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9" t="s">
        <v>30</v>
      </c>
    </row>
    <row r="66">
      <c r="A66" s="23" t="s">
        <v>153</v>
      </c>
      <c r="B66" s="23"/>
      <c r="C66" s="9" t="s">
        <v>42</v>
      </c>
      <c r="D66" s="9"/>
      <c r="E66" s="21" t="str">
        <f t="array" ref="E66">IFERROR(INDEX(Hospedaje!$A$2:$A$32, MATCH(TRUE, BYROW(Hospedaje!$E$2:$S$32, LAMBDA(fila, COUNTIF(fila, A66)&gt;0)), 0)),"-")</f>
        <v>Viajeros 4</v>
      </c>
      <c r="F66" s="9">
        <v>1.0</v>
      </c>
      <c r="G66" s="9">
        <v>1.0</v>
      </c>
      <c r="H66" s="9">
        <v>10.0</v>
      </c>
      <c r="I66" s="21" t="str">
        <f>IF(COUNTIF(Hospedaje!$E$2:$S$32,A66)=1,"Sí",IF(COUNTIF(Hospedaje!$E$2:$S$32,A66)=0,"No","DUPLICADO"))</f>
        <v>Sí</v>
      </c>
      <c r="J66" s="9" t="s">
        <v>42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9" t="s">
        <v>30</v>
      </c>
    </row>
    <row r="67">
      <c r="A67" s="23" t="s">
        <v>154</v>
      </c>
      <c r="B67" s="23"/>
      <c r="C67" s="9" t="s">
        <v>42</v>
      </c>
      <c r="D67" s="9"/>
      <c r="E67" s="21" t="str">
        <f t="array" ref="E67">IFERROR(INDEX(Hospedaje!$A$2:$A$32, MATCH(TRUE, BYROW(Hospedaje!$E$2:$S$32, LAMBDA(fila, COUNTIF(fila, A67)&gt;0)), 0)),"-")</f>
        <v>Viajeros 5</v>
      </c>
      <c r="F67" s="9">
        <v>1.0</v>
      </c>
      <c r="G67" s="9">
        <v>1.0</v>
      </c>
      <c r="H67" s="9">
        <v>10.0</v>
      </c>
      <c r="I67" s="21" t="str">
        <f>IF(COUNTIF(Hospedaje!$E$2:$S$32,A67)=1,"Sí",IF(COUNTIF(Hospedaje!$E$2:$S$32,A67)=0,"No","DUPLICADO"))</f>
        <v>Sí</v>
      </c>
      <c r="J67" s="9" t="s">
        <v>42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9" t="s">
        <v>30</v>
      </c>
    </row>
    <row r="68">
      <c r="A68" s="23" t="s">
        <v>155</v>
      </c>
      <c r="B68" s="23"/>
      <c r="C68" s="9" t="s">
        <v>42</v>
      </c>
      <c r="D68" s="9"/>
      <c r="E68" s="21" t="str">
        <f t="array" ref="E68">IFERROR(INDEX(Hospedaje!$A$2:$A$32, MATCH(TRUE, BYROW(Hospedaje!$E$2:$S$32, LAMBDA(fila, COUNTIF(fila, A68)&gt;0)), 0)),"-")</f>
        <v>Viajeros 3</v>
      </c>
      <c r="F68" s="9">
        <v>1.0</v>
      </c>
      <c r="G68" s="9">
        <v>1.0</v>
      </c>
      <c r="H68" s="9">
        <v>10.0</v>
      </c>
      <c r="I68" s="21" t="str">
        <f>IF(COUNTIF(Hospedaje!$E$2:$S$32,A68)=1,"Sí",IF(COUNTIF(Hospedaje!$E$2:$S$32,A68)=0,"No","DUPLICADO"))</f>
        <v>Sí</v>
      </c>
      <c r="J68" s="9" t="s">
        <v>42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9" t="s">
        <v>30</v>
      </c>
    </row>
    <row r="69">
      <c r="A69" s="23" t="s">
        <v>156</v>
      </c>
      <c r="B69" s="23"/>
      <c r="C69" s="9" t="s">
        <v>42</v>
      </c>
      <c r="D69" s="9"/>
      <c r="E69" s="21" t="str">
        <f t="array" ref="E69">IFERROR(INDEX(Hospedaje!$A$2:$A$32, MATCH(TRUE, BYROW(Hospedaje!$E$2:$S$32, LAMBDA(fila, COUNTIF(fila, A69)&gt;0)), 0)),"-")</f>
        <v>Viajeros 2</v>
      </c>
      <c r="F69" s="9">
        <v>1.0</v>
      </c>
      <c r="G69" s="9">
        <v>1.0</v>
      </c>
      <c r="H69" s="9">
        <v>10.0</v>
      </c>
      <c r="I69" s="21" t="str">
        <f>IF(COUNTIF(Hospedaje!$E$2:$S$32,A69)=1,"Sí",IF(COUNTIF(Hospedaje!$E$2:$S$32,A69)=0,"No","DUPLICADO"))</f>
        <v>Sí</v>
      </c>
      <c r="J69" s="9" t="s">
        <v>42</v>
      </c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9" t="s">
        <v>30</v>
      </c>
    </row>
    <row r="70">
      <c r="A70" s="23" t="s">
        <v>157</v>
      </c>
      <c r="B70" s="23"/>
      <c r="C70" s="9" t="s">
        <v>42</v>
      </c>
      <c r="D70" s="9"/>
      <c r="E70" s="21" t="str">
        <f t="array" ref="E70">IFERROR(INDEX(Hospedaje!$A$2:$A$32, MATCH(TRUE, BYROW(Hospedaje!$E$2:$S$32, LAMBDA(fila, COUNTIF(fila, A70)&gt;0)), 0)),"-")</f>
        <v>Viajeros 1</v>
      </c>
      <c r="F70" s="9">
        <v>1.0</v>
      </c>
      <c r="G70" s="9">
        <v>1.0</v>
      </c>
      <c r="H70" s="9">
        <v>10.0</v>
      </c>
      <c r="I70" s="21" t="str">
        <f>IF(COUNTIF(Hospedaje!$E$2:$S$32,A70)=1,"Sí",IF(COUNTIF(Hospedaje!$E$2:$S$32,A70)=0,"No","DUPLICADO"))</f>
        <v>Sí</v>
      </c>
      <c r="J70" s="9" t="s">
        <v>42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9" t="s">
        <v>30</v>
      </c>
    </row>
    <row r="71">
      <c r="A71" s="23" t="s">
        <v>158</v>
      </c>
      <c r="B71" s="23"/>
      <c r="C71" s="9" t="s">
        <v>42</v>
      </c>
      <c r="D71" s="9"/>
      <c r="E71" s="21" t="str">
        <f t="array" ref="E71">IFERROR(INDEX(Hospedaje!$A$2:$A$32, MATCH(TRUE, BYROW(Hospedaje!$E$2:$S$32, LAMBDA(fila, COUNTIF(fila, A71)&gt;0)), 0)),"-")</f>
        <v>Viajeros 2</v>
      </c>
      <c r="F71" s="9">
        <v>1.0</v>
      </c>
      <c r="G71" s="9">
        <v>1.0</v>
      </c>
      <c r="H71" s="9">
        <v>10.0</v>
      </c>
      <c r="I71" s="21" t="str">
        <f>IF(COUNTIF(Hospedaje!$E$2:$S$32,A71)=1,"Sí",IF(COUNTIF(Hospedaje!$E$2:$S$32,A71)=0,"No","DUPLICADO"))</f>
        <v>Sí</v>
      </c>
      <c r="J71" s="9" t="s">
        <v>42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9" t="s">
        <v>30</v>
      </c>
    </row>
    <row r="72">
      <c r="A72" s="23" t="s">
        <v>159</v>
      </c>
      <c r="B72" s="23"/>
      <c r="C72" s="9" t="s">
        <v>42</v>
      </c>
      <c r="D72" s="9"/>
      <c r="E72" s="21" t="str">
        <f t="array" ref="E72">IFERROR(INDEX(Hospedaje!$A$2:$A$32, MATCH(TRUE, BYROW(Hospedaje!$E$2:$S$32, LAMBDA(fila, COUNTIF(fila, A72)&gt;0)), 0)),"-")</f>
        <v>Viajeros 3</v>
      </c>
      <c r="F72" s="9">
        <v>1.0</v>
      </c>
      <c r="G72" s="9">
        <v>1.0</v>
      </c>
      <c r="H72" s="9">
        <v>10.0</v>
      </c>
      <c r="I72" s="21" t="str">
        <f>IF(COUNTIF(Hospedaje!$E$2:$S$32,A72)=1,"Sí",IF(COUNTIF(Hospedaje!$E$2:$S$32,A72)=0,"No","DUPLICADO"))</f>
        <v>Sí</v>
      </c>
      <c r="J72" s="9" t="s">
        <v>42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9" t="s">
        <v>30</v>
      </c>
    </row>
    <row r="73">
      <c r="A73" s="23" t="s">
        <v>160</v>
      </c>
      <c r="B73" s="23"/>
      <c r="C73" s="9" t="s">
        <v>42</v>
      </c>
      <c r="D73" s="9"/>
      <c r="E73" s="21" t="str">
        <f t="array" ref="E73">IFERROR(INDEX(Hospedaje!$A$2:$A$32, MATCH(TRUE, BYROW(Hospedaje!$E$2:$S$32, LAMBDA(fila, COUNTIF(fila, A73)&gt;0)), 0)),"-")</f>
        <v>Viajeros 4</v>
      </c>
      <c r="F73" s="9">
        <v>1.0</v>
      </c>
      <c r="G73" s="9">
        <v>1.0</v>
      </c>
      <c r="H73" s="9">
        <v>10.0</v>
      </c>
      <c r="I73" s="21" t="str">
        <f>IF(COUNTIF(Hospedaje!$E$2:$S$32,A73)=1,"Sí",IF(COUNTIF(Hospedaje!$E$2:$S$32,A73)=0,"No","DUPLICADO"))</f>
        <v>Sí</v>
      </c>
      <c r="J73" s="9" t="s">
        <v>42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9" t="s">
        <v>30</v>
      </c>
    </row>
    <row r="74">
      <c r="A74" s="23" t="s">
        <v>161</v>
      </c>
      <c r="B74" s="23"/>
      <c r="C74" s="9" t="s">
        <v>42</v>
      </c>
      <c r="D74" s="9"/>
      <c r="E74" s="21" t="str">
        <f t="array" ref="E74">IFERROR(INDEX(Hospedaje!$A$2:$A$32, MATCH(TRUE, BYROW(Hospedaje!$E$2:$S$32, LAMBDA(fila, COUNTIF(fila, A74)&gt;0)), 0)),"-")</f>
        <v>Viajeros 5</v>
      </c>
      <c r="F74" s="9">
        <v>1.0</v>
      </c>
      <c r="G74" s="9">
        <v>1.0</v>
      </c>
      <c r="H74" s="9">
        <v>10.0</v>
      </c>
      <c r="I74" s="21" t="str">
        <f>IF(COUNTIF(Hospedaje!$E$2:$S$32,A74)=1,"Sí",IF(COUNTIF(Hospedaje!$E$2:$S$32,A74)=0,"No","DUPLICADO"))</f>
        <v>Sí</v>
      </c>
      <c r="J74" s="9" t="s">
        <v>42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9" t="s">
        <v>30</v>
      </c>
    </row>
    <row r="75">
      <c r="A75" s="23" t="s">
        <v>162</v>
      </c>
      <c r="B75" s="23"/>
      <c r="C75" s="9" t="s">
        <v>42</v>
      </c>
      <c r="D75" s="9"/>
      <c r="E75" s="21" t="str">
        <f t="array" ref="E75">IFERROR(INDEX(Hospedaje!$A$2:$A$32, MATCH(TRUE, BYROW(Hospedaje!$E$2:$S$32, LAMBDA(fila, COUNTIF(fila, A75)&gt;0)), 0)),"-")</f>
        <v>Viajeros 3</v>
      </c>
      <c r="F75" s="9">
        <v>1.0</v>
      </c>
      <c r="G75" s="9">
        <v>1.0</v>
      </c>
      <c r="H75" s="9">
        <v>10.0</v>
      </c>
      <c r="I75" s="21" t="str">
        <f>IF(COUNTIF(Hospedaje!$E$2:$S$32,A75)=1,"Sí",IF(COUNTIF(Hospedaje!$E$2:$S$32,A75)=0,"No","DUPLICADO"))</f>
        <v>Sí</v>
      </c>
      <c r="J75" s="9" t="s">
        <v>42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9" t="s">
        <v>30</v>
      </c>
    </row>
    <row r="76">
      <c r="A76" s="23" t="s">
        <v>163</v>
      </c>
      <c r="B76" s="23"/>
      <c r="C76" s="9" t="s">
        <v>42</v>
      </c>
      <c r="D76" s="9"/>
      <c r="E76" s="21" t="str">
        <f t="array" ref="E76">IFERROR(INDEX(Hospedaje!$A$2:$A$32, MATCH(TRUE, BYROW(Hospedaje!$E$2:$S$32, LAMBDA(fila, COUNTIF(fila, A76)&gt;0)), 0)),"-")</f>
        <v>Viajeros 4</v>
      </c>
      <c r="F76" s="9">
        <v>1.0</v>
      </c>
      <c r="G76" s="9">
        <v>1.0</v>
      </c>
      <c r="H76" s="9">
        <v>10.0</v>
      </c>
      <c r="I76" s="21" t="str">
        <f>IF(COUNTIF(Hospedaje!$E$2:$S$32,A76)=1,"Sí",IF(COUNTIF(Hospedaje!$E$2:$S$32,A76)=0,"No","DUPLICADO"))</f>
        <v>Sí</v>
      </c>
      <c r="J76" s="9" t="s">
        <v>42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9" t="s">
        <v>30</v>
      </c>
    </row>
    <row r="77">
      <c r="A77" s="9" t="s">
        <v>164</v>
      </c>
      <c r="B77" s="9" t="s">
        <v>165</v>
      </c>
      <c r="C77" s="9" t="s">
        <v>30</v>
      </c>
      <c r="D77" s="22"/>
      <c r="E77" s="21" t="str">
        <f t="array" ref="E77">IFERROR(INDEX(Hospedaje!$A$2:$A$32, MATCH(TRUE, BYROW(Hospedaje!$E$2:$S$32, LAMBDA(fila, COUNTIF(fila, A77)&gt;0)), 0)),"-")</f>
        <v>Viajeros 4</v>
      </c>
      <c r="F77" s="9">
        <v>1.0</v>
      </c>
      <c r="G77" s="9">
        <v>1.0</v>
      </c>
      <c r="I77" s="21" t="str">
        <f>IF(COUNTIF(Hospedaje!$E$2:$S$32,A77)=1,"Sí",IF(COUNTIF(Hospedaje!$E$2:$S$32,A77)=0,"No","DUPLICADO"))</f>
        <v>Sí</v>
      </c>
      <c r="J77" s="9" t="s">
        <v>45</v>
      </c>
      <c r="K77" s="9" t="s">
        <v>32</v>
      </c>
      <c r="L77" s="9" t="s">
        <v>41</v>
      </c>
      <c r="M77" s="9" t="s">
        <v>42</v>
      </c>
      <c r="N77" s="9" t="s">
        <v>34</v>
      </c>
      <c r="O77" s="9" t="s">
        <v>51</v>
      </c>
      <c r="P77" s="9" t="s">
        <v>48</v>
      </c>
      <c r="Q77" s="9" t="s">
        <v>59</v>
      </c>
      <c r="R77" s="9" t="s">
        <v>47</v>
      </c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9" t="s">
        <v>30</v>
      </c>
    </row>
    <row r="78">
      <c r="A78" s="9" t="s">
        <v>166</v>
      </c>
      <c r="B78" s="9"/>
      <c r="C78" s="9" t="s">
        <v>100</v>
      </c>
      <c r="D78" s="9"/>
      <c r="E78" s="21" t="str">
        <f t="array" ref="E78">IFERROR(INDEX(Hospedaje!$A$2:$A$32, MATCH(TRUE, BYROW(Hospedaje!$E$2:$S$32, LAMBDA(fila, COUNTIF(fila, A78)&gt;0)), 0)),"-")</f>
        <v>Zoo</v>
      </c>
      <c r="F78" s="9">
        <v>0.0</v>
      </c>
      <c r="G78" s="9">
        <v>2.0</v>
      </c>
      <c r="I78" s="21" t="str">
        <f>IF(COUNTIF(Hospedaje!$E$2:$S$32,A78)=1,"Sí",IF(COUNTIF(Hospedaje!$E$2:$S$32,A78)=0,"No","DUPLICADO"))</f>
        <v>Sí</v>
      </c>
      <c r="J78" s="9" t="s">
        <v>100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9" t="s">
        <v>30</v>
      </c>
    </row>
    <row r="79">
      <c r="A79" s="9" t="s">
        <v>167</v>
      </c>
      <c r="C79" s="9" t="s">
        <v>30</v>
      </c>
      <c r="D79" s="22"/>
      <c r="E79" s="21" t="str">
        <f t="array" ref="E79">IFERROR(INDEX(Hospedaje!$A$2:$A$32, MATCH(TRUE, BYROW(Hospedaje!$E$2:$S$32, LAMBDA(fila, COUNTIF(fila, A79)&gt;0)), 0)),"-")</f>
        <v>Cómodo 1</v>
      </c>
      <c r="F79" s="9">
        <v>1.0</v>
      </c>
      <c r="G79" s="9">
        <v>0.5</v>
      </c>
      <c r="I79" s="21" t="str">
        <f>IF(COUNTIF(Hospedaje!$E$2:$S$32,A79)=1,"Sí",IF(COUNTIF(Hospedaje!$E$2:$S$32,A79)=0,"No","DUPLICADO"))</f>
        <v>Sí</v>
      </c>
      <c r="J79" s="9" t="s">
        <v>29</v>
      </c>
      <c r="K79" s="9" t="s">
        <v>32</v>
      </c>
      <c r="L79" s="9" t="s">
        <v>45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9" t="s">
        <v>30</v>
      </c>
    </row>
    <row r="80">
      <c r="A80" s="9" t="s">
        <v>168</v>
      </c>
      <c r="B80" s="9" t="s">
        <v>169</v>
      </c>
      <c r="C80" s="9" t="s">
        <v>30</v>
      </c>
      <c r="D80" s="22"/>
      <c r="E80" s="21" t="str">
        <f t="array" ref="E80">IFERROR(INDEX(Hospedaje!$A$2:$A$32, MATCH(TRUE, BYROW(Hospedaje!$E$2:$S$32, LAMBDA(fila, COUNTIF(fila, A80)&gt;0)), 0)),"-")</f>
        <v>Viajeros 2</v>
      </c>
      <c r="F80" s="9">
        <v>1.0</v>
      </c>
      <c r="G80" s="9">
        <v>1.0</v>
      </c>
      <c r="I80" s="21" t="str">
        <f>IF(COUNTIF(Hospedaje!$E$2:$S$32,A80)=1,"Sí",IF(COUNTIF(Hospedaje!$E$2:$S$32,A80)=0,"No","DUPLICADO"))</f>
        <v>Sí</v>
      </c>
      <c r="J80" s="9" t="s">
        <v>58</v>
      </c>
      <c r="K80" s="9" t="s">
        <v>28</v>
      </c>
      <c r="L80" s="9" t="s">
        <v>35</v>
      </c>
      <c r="M80" s="9" t="s">
        <v>53</v>
      </c>
      <c r="N80" s="9" t="s">
        <v>51</v>
      </c>
      <c r="O80" s="9" t="s">
        <v>77</v>
      </c>
      <c r="P80" s="9" t="s">
        <v>49</v>
      </c>
      <c r="Q80" s="9" t="s">
        <v>48</v>
      </c>
      <c r="R80" s="9" t="s">
        <v>76</v>
      </c>
      <c r="S80" s="9" t="s">
        <v>59</v>
      </c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9" t="s">
        <v>30</v>
      </c>
    </row>
    <row r="81">
      <c r="A81" s="9" t="s">
        <v>170</v>
      </c>
      <c r="B81" s="9" t="s">
        <v>171</v>
      </c>
      <c r="C81" s="9" t="s">
        <v>30</v>
      </c>
      <c r="D81" s="22"/>
      <c r="E81" s="21" t="str">
        <f t="array" ref="E81">IFERROR(INDEX(Hospedaje!$A$2:$A$32, MATCH(TRUE, BYROW(Hospedaje!$E$2:$S$32, LAMBDA(fila, COUNTIF(fila, A81)&gt;0)), 0)),"-")</f>
        <v>Zoo</v>
      </c>
      <c r="F81" s="9">
        <v>0.0</v>
      </c>
      <c r="G81" s="9">
        <v>0.0</v>
      </c>
      <c r="I81" s="21" t="str">
        <f>IF(COUNTIF(Hospedaje!$E$2:$S$32,A81)=1,"Sí",IF(COUNTIF(Hospedaje!$E$2:$S$32,A81)=0,"No","DUPLICADO"))</f>
        <v>Sí</v>
      </c>
      <c r="J81" s="9" t="s">
        <v>29</v>
      </c>
      <c r="K81" s="9" t="s">
        <v>32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9" t="s">
        <v>30</v>
      </c>
    </row>
    <row r="82">
      <c r="A82" s="9" t="s">
        <v>172</v>
      </c>
      <c r="B82" s="9" t="s">
        <v>173</v>
      </c>
      <c r="C82" s="9" t="s">
        <v>30</v>
      </c>
      <c r="D82" s="22"/>
      <c r="E82" s="21" t="str">
        <f t="array" ref="E82">IFERROR(INDEX(Hospedaje!$A$2:$A$32, MATCH(TRUE, BYROW(Hospedaje!$E$2:$S$32, LAMBDA(fila, COUNTIF(fila, A82)&gt;0)), 0)),"-")</f>
        <v>Viajeros 4</v>
      </c>
      <c r="F82" s="9">
        <v>1.0</v>
      </c>
      <c r="G82" s="9">
        <v>1.0</v>
      </c>
      <c r="I82" s="21" t="str">
        <f>IF(COUNTIF(Hospedaje!$E$2:$S$32,A82)=1,"Sí",IF(COUNTIF(Hospedaje!$E$2:$S$32,A82)=0,"No","DUPLICADO"))</f>
        <v>Sí</v>
      </c>
      <c r="J82" s="9" t="s">
        <v>29</v>
      </c>
      <c r="K82" s="9" t="s">
        <v>32</v>
      </c>
      <c r="L82" s="9" t="s">
        <v>45</v>
      </c>
      <c r="M82" s="9" t="s">
        <v>47</v>
      </c>
      <c r="N82" s="9" t="s">
        <v>46</v>
      </c>
      <c r="O82" s="9" t="s">
        <v>51</v>
      </c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9" t="s">
        <v>30</v>
      </c>
    </row>
    <row r="83">
      <c r="C83" s="22"/>
      <c r="D83" s="22"/>
      <c r="E83" s="21" t="str">
        <f t="array" ref="E83">IFERROR(INDEX(Hospedaje!$A$2:$A$32, MATCH(TRUE, BYROW(Hospedaje!$E$2:$S$32, LAMBDA(fila, COUNTIF(fila, A83)&gt;0)), 0)),"-")</f>
        <v>-</v>
      </c>
      <c r="I83" s="21" t="str">
        <f>IF(COUNTIF(Hospedaje!$E$2:$S$32,A83)=1,"Sí",IF(COUNTIF(Hospedaje!$E$2:$S$32,A83)=0,"No","DUPLICADO"))</f>
        <v>No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9" t="s">
        <v>30</v>
      </c>
    </row>
    <row r="84">
      <c r="C84" s="22"/>
      <c r="D84" s="22"/>
      <c r="E84" s="21" t="str">
        <f t="array" ref="E84">IFERROR(INDEX(Hospedaje!$A$2:$A$32, MATCH(TRUE, BYROW(Hospedaje!$E$2:$S$32, LAMBDA(fila, COUNTIF(fila, A84)&gt;0)), 0)),"-")</f>
        <v>-</v>
      </c>
      <c r="I84" s="21" t="str">
        <f>IF(COUNTIF(Hospedaje!$E$2:$S$32,A84)=1,"Sí",IF(COUNTIF(Hospedaje!$E$2:$S$32,A84)=0,"No","DUPLICADO"))</f>
        <v>No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9" t="s">
        <v>30</v>
      </c>
    </row>
    <row r="85">
      <c r="C85" s="22"/>
      <c r="D85" s="22"/>
      <c r="E85" s="21" t="str">
        <f t="array" ref="E85">IFERROR(INDEX(Hospedaje!$A$2:$A$32, MATCH(TRUE, BYROW(Hospedaje!$E$2:$S$32, LAMBDA(fila, COUNTIF(fila, A85)&gt;0)), 0)),"-")</f>
        <v>-</v>
      </c>
      <c r="I85" s="21" t="str">
        <f>IF(COUNTIF(Hospedaje!$E$2:$S$32,A85)=1,"Sí",IF(COUNTIF(Hospedaje!$E$2:$S$32,A85)=0,"No","DUPLICADO"))</f>
        <v>No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9" t="s">
        <v>30</v>
      </c>
    </row>
    <row r="86">
      <c r="C86" s="22"/>
      <c r="D86" s="22"/>
      <c r="E86" s="21" t="str">
        <f t="array" ref="E86">IFERROR(INDEX(Hospedaje!$A$2:$A$32, MATCH(TRUE, BYROW(Hospedaje!$E$2:$S$32, LAMBDA(fila, COUNTIF(fila, A86)&gt;0)), 0)),"-")</f>
        <v>-</v>
      </c>
      <c r="I86" s="21" t="str">
        <f>IF(COUNTIF(Hospedaje!$E$2:$S$32,A86)=1,"Sí",IF(COUNTIF(Hospedaje!$E$2:$S$32,A86)=0,"No","DUPLICADO"))</f>
        <v>No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9" t="s">
        <v>30</v>
      </c>
    </row>
    <row r="87">
      <c r="C87" s="22"/>
      <c r="D87" s="22"/>
      <c r="E87" s="21" t="str">
        <f t="array" ref="E87">IFERROR(INDEX(Hospedaje!$A$2:$A$32, MATCH(TRUE, BYROW(Hospedaje!$E$2:$S$32, LAMBDA(fila, COUNTIF(fila, A87)&gt;0)), 0)),"-")</f>
        <v>-</v>
      </c>
      <c r="I87" s="21" t="str">
        <f>IF(COUNTIF(Hospedaje!$E$2:$S$32,A87)=1,"Sí",IF(COUNTIF(Hospedaje!$E$2:$S$32,A87)=0,"No","DUPLICADO"))</f>
        <v>No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9" t="s">
        <v>30</v>
      </c>
    </row>
    <row r="88">
      <c r="C88" s="22"/>
      <c r="D88" s="22"/>
      <c r="E88" s="21" t="str">
        <f t="array" ref="E88">IFERROR(INDEX(Hospedaje!$A$2:$A$32, MATCH(TRUE, BYROW(Hospedaje!$E$2:$S$32, LAMBDA(fila, COUNTIF(fila, A88)&gt;0)), 0)),"-")</f>
        <v>-</v>
      </c>
      <c r="I88" s="21" t="str">
        <f>IF(COUNTIF(Hospedaje!$E$2:$S$32,A88)=1,"Sí",IF(COUNTIF(Hospedaje!$E$2:$S$32,A88)=0,"No","DUPLICADO"))</f>
        <v>No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9" t="s">
        <v>30</v>
      </c>
    </row>
    <row r="89">
      <c r="C89" s="22"/>
      <c r="D89" s="22"/>
      <c r="E89" s="21" t="str">
        <f t="array" ref="E89">IFERROR(INDEX(Hospedaje!$A$2:$A$32, MATCH(TRUE, BYROW(Hospedaje!$E$2:$S$32, LAMBDA(fila, COUNTIF(fila, A89)&gt;0)), 0)),"-")</f>
        <v>-</v>
      </c>
      <c r="I89" s="21" t="str">
        <f>IF(COUNTIF(Hospedaje!$E$2:$S$32,A89)=1,"Sí",IF(COUNTIF(Hospedaje!$E$2:$S$32,A89)=0,"No","DUPLICADO"))</f>
        <v>No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9" t="s">
        <v>30</v>
      </c>
    </row>
    <row r="90">
      <c r="C90" s="22"/>
      <c r="D90" s="22"/>
      <c r="E90" s="21" t="str">
        <f t="array" ref="E90">IFERROR(INDEX(Hospedaje!$A$2:$A$32, MATCH(TRUE, BYROW(Hospedaje!$E$2:$S$32, LAMBDA(fila, COUNTIF(fila, A90)&gt;0)), 0)),"-")</f>
        <v>-</v>
      </c>
      <c r="I90" s="21" t="str">
        <f>IF(COUNTIF(Hospedaje!$E$2:$S$32,A90)=1,"Sí",IF(COUNTIF(Hospedaje!$E$2:$S$32,A90)=0,"No","DUPLICADO"))</f>
        <v>No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9" t="s">
        <v>30</v>
      </c>
    </row>
    <row r="91">
      <c r="C91" s="22"/>
      <c r="D91" s="22"/>
      <c r="E91" s="21" t="str">
        <f t="array" ref="E91">IFERROR(INDEX(Hospedaje!$A$2:$A$32, MATCH(TRUE, BYROW(Hospedaje!$E$2:$S$32, LAMBDA(fila, COUNTIF(fila, A91)&gt;0)), 0)),"-")</f>
        <v>-</v>
      </c>
      <c r="I91" s="21" t="str">
        <f>IF(COUNTIF(Hospedaje!$E$2:$S$32,A91)=1,"Sí",IF(COUNTIF(Hospedaje!$E$2:$S$32,A91)=0,"No","DUPLICADO"))</f>
        <v>No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9" t="s">
        <v>30</v>
      </c>
    </row>
    <row r="92">
      <c r="C92" s="22"/>
      <c r="D92" s="22"/>
      <c r="E92" s="21" t="str">
        <f t="array" ref="E92">IFERROR(INDEX(Hospedaje!$A$2:$A$32, MATCH(TRUE, BYROW(Hospedaje!$E$2:$S$32, LAMBDA(fila, COUNTIF(fila, A92)&gt;0)), 0)),"-")</f>
        <v>-</v>
      </c>
      <c r="I92" s="21" t="str">
        <f>IF(COUNTIF(Hospedaje!$E$2:$S$32,A92)=1,"Sí",IF(COUNTIF(Hospedaje!$E$2:$S$32,A92)=0,"No","DUPLICADO"))</f>
        <v>No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9" t="s">
        <v>30</v>
      </c>
    </row>
    <row r="93">
      <c r="C93" s="22"/>
      <c r="D93" s="22"/>
      <c r="E93" s="21" t="str">
        <f t="array" ref="E93">IFERROR(INDEX(Hospedaje!$A$2:$A$32, MATCH(TRUE, BYROW(Hospedaje!$E$2:$S$32, LAMBDA(fila, COUNTIF(fila, A93)&gt;0)), 0)),"-")</f>
        <v>-</v>
      </c>
      <c r="I93" s="21" t="str">
        <f>IF(COUNTIF(Hospedaje!$E$2:$S$32,A93)=1,"Sí",IF(COUNTIF(Hospedaje!$E$2:$S$32,A93)=0,"No","DUPLICADO"))</f>
        <v>No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9" t="s">
        <v>30</v>
      </c>
    </row>
    <row r="94">
      <c r="C94" s="22"/>
      <c r="D94" s="22"/>
      <c r="E94" s="21" t="str">
        <f t="array" ref="E94">IFERROR(INDEX(Hospedaje!$A$2:$A$32, MATCH(TRUE, BYROW(Hospedaje!$E$2:$S$32, LAMBDA(fila, COUNTIF(fila, A94)&gt;0)), 0)),"-")</f>
        <v>-</v>
      </c>
      <c r="I94" s="21" t="str">
        <f>IF(COUNTIF(Hospedaje!$E$2:$S$32,A94)=1,"Sí",IF(COUNTIF(Hospedaje!$E$2:$S$32,A94)=0,"No","DUPLICADO"))</f>
        <v>No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9" t="s">
        <v>30</v>
      </c>
    </row>
    <row r="95">
      <c r="C95" s="22"/>
      <c r="D95" s="22"/>
      <c r="E95" s="21" t="str">
        <f t="array" ref="E95">IFERROR(INDEX(Hospedaje!$A$2:$A$32, MATCH(TRUE, BYROW(Hospedaje!$E$2:$S$32, LAMBDA(fila, COUNTIF(fila, A95)&gt;0)), 0)),"-")</f>
        <v>-</v>
      </c>
      <c r="I95" s="21" t="str">
        <f>IF(COUNTIF(Hospedaje!$E$2:$S$32,A95)=1,"Sí",IF(COUNTIF(Hospedaje!$E$2:$S$32,A95)=0,"No","DUPLICADO"))</f>
        <v>No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9" t="s">
        <v>30</v>
      </c>
    </row>
    <row r="96">
      <c r="C96" s="22"/>
      <c r="D96" s="22"/>
      <c r="E96" s="21" t="str">
        <f t="array" ref="E96">IFERROR(INDEX(Hospedaje!$A$2:$A$32, MATCH(TRUE, BYROW(Hospedaje!$E$2:$S$32, LAMBDA(fila, COUNTIF(fila, A96)&gt;0)), 0)),"-")</f>
        <v>-</v>
      </c>
      <c r="I96" s="21" t="str">
        <f>IF(COUNTIF(Hospedaje!$E$2:$S$32,A96)=1,"Sí",IF(COUNTIF(Hospedaje!$E$2:$S$32,A96)=0,"No","DUPLICADO"))</f>
        <v>No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9" t="s">
        <v>30</v>
      </c>
    </row>
    <row r="97">
      <c r="C97" s="22"/>
      <c r="D97" s="22"/>
      <c r="E97" s="21" t="str">
        <f t="array" ref="E97">IFERROR(INDEX(Hospedaje!$A$2:$A$32, MATCH(TRUE, BYROW(Hospedaje!$E$2:$S$32, LAMBDA(fila, COUNTIF(fila, A97)&gt;0)), 0)),"-")</f>
        <v>-</v>
      </c>
      <c r="I97" s="21" t="str">
        <f>IF(COUNTIF(Hospedaje!$E$2:$S$32,A97)=1,"Sí",IF(COUNTIF(Hospedaje!$E$2:$S$32,A97)=0,"No","DUPLICADO"))</f>
        <v>No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9" t="s">
        <v>30</v>
      </c>
    </row>
    <row r="98">
      <c r="C98" s="22"/>
      <c r="D98" s="22"/>
      <c r="E98" s="21" t="str">
        <f t="array" ref="E98">IFERROR(INDEX(Hospedaje!$A$2:$A$32, MATCH(TRUE, BYROW(Hospedaje!$E$2:$S$32, LAMBDA(fila, COUNTIF(fila, A98)&gt;0)), 0)),"-")</f>
        <v>-</v>
      </c>
      <c r="I98" s="21" t="str">
        <f>IF(COUNTIF(Hospedaje!$E$2:$S$32,A98)=1,"Sí",IF(COUNTIF(Hospedaje!$E$2:$S$32,A98)=0,"No","DUPLICADO"))</f>
        <v>No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9" t="s">
        <v>30</v>
      </c>
    </row>
    <row r="99">
      <c r="C99" s="22"/>
      <c r="D99" s="22"/>
      <c r="E99" s="21" t="str">
        <f t="array" ref="E99">IFERROR(INDEX(Hospedaje!$A$2:$A$32, MATCH(TRUE, BYROW(Hospedaje!$E$2:$S$32, LAMBDA(fila, COUNTIF(fila, A99)&gt;0)), 0)),"-")</f>
        <v>-</v>
      </c>
      <c r="I99" s="21" t="str">
        <f>IF(COUNTIF(Hospedaje!$E$2:$S$32,A99)=1,"Sí",IF(COUNTIF(Hospedaje!$E$2:$S$32,A99)=0,"No","DUPLICADO"))</f>
        <v>No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9" t="s">
        <v>30</v>
      </c>
    </row>
    <row r="100">
      <c r="C100" s="22"/>
      <c r="D100" s="22"/>
      <c r="E100" s="21" t="str">
        <f t="array" ref="E100">IFERROR(INDEX(Hospedaje!$A$2:$A$32, MATCH(TRUE, BYROW(Hospedaje!$E$2:$S$32, LAMBDA(fila, COUNTIF(fila, A100)&gt;0)), 0)),"-")</f>
        <v>-</v>
      </c>
      <c r="I100" s="21" t="str">
        <f>IF(COUNTIF(Hospedaje!$E$2:$S$32,A100)=1,"Sí",IF(COUNTIF(Hospedaje!$E$2:$S$32,A100)=0,"No","DUPLICADO"))</f>
        <v>No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9" t="s">
        <v>30</v>
      </c>
    </row>
    <row r="101">
      <c r="C101" s="22"/>
      <c r="D101" s="22"/>
      <c r="E101" s="21" t="str">
        <f t="array" ref="E101">IFERROR(INDEX(Hospedaje!$A$2:$A$32, MATCH(TRUE, BYROW(Hospedaje!$E$2:$S$32, LAMBDA(fila, COUNTIF(fila, A101)&gt;0)), 0)),"-")</f>
        <v>-</v>
      </c>
      <c r="I101" s="21" t="str">
        <f>IF(COUNTIF(Hospedaje!$E$2:$S$32,A101)=1,"Sí",IF(COUNTIF(Hospedaje!$E$2:$S$32,A101)=0,"No","DUPLICADO"))</f>
        <v>No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9" t="s">
        <v>30</v>
      </c>
    </row>
    <row r="102">
      <c r="C102" s="22"/>
      <c r="D102" s="22"/>
      <c r="E102" s="21" t="str">
        <f t="array" ref="E102">IFERROR(INDEX(Hospedaje!$A$2:$A$32, MATCH(TRUE, BYROW(Hospedaje!$E$2:$S$32, LAMBDA(fila, COUNTIF(fila, A102)&gt;0)), 0)),"-")</f>
        <v>-</v>
      </c>
      <c r="I102" s="21" t="str">
        <f>IF(COUNTIF(Hospedaje!$E$2:$S$32,A102)=1,"Sí",IF(COUNTIF(Hospedaje!$E$2:$S$32,A102)=0,"No","DUPLICADO"))</f>
        <v>No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9" t="s">
        <v>30</v>
      </c>
    </row>
  </sheetData>
  <mergeCells count="1">
    <mergeCell ref="J1:AD2"/>
  </mergeCells>
  <dataValidations>
    <dataValidation type="list" allowBlank="1" showErrorMessage="1" sqref="J3:AD102">
      <formula1>'Lista Roles'!$A$2:$A$100</formula1>
    </dataValidation>
    <dataValidation type="list" allowBlank="1" showErrorMessage="1" sqref="C3:D102">
      <formula1>Viajeros!$J3:$AD3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0.38"/>
  </cols>
  <sheetData>
    <row r="1">
      <c r="A1" s="25" t="s">
        <v>7</v>
      </c>
      <c r="D1" s="25" t="s">
        <v>174</v>
      </c>
      <c r="J1" s="25" t="s">
        <v>175</v>
      </c>
      <c r="P1" s="25" t="s">
        <v>24</v>
      </c>
      <c r="S1" s="25" t="s">
        <v>10</v>
      </c>
      <c r="V1" s="25" t="s">
        <v>11</v>
      </c>
    </row>
    <row r="2">
      <c r="D2" s="25" t="s">
        <v>13</v>
      </c>
      <c r="G2" s="25" t="s">
        <v>14</v>
      </c>
      <c r="J2" s="25" t="s">
        <v>176</v>
      </c>
      <c r="M2" s="25" t="s">
        <v>177</v>
      </c>
    </row>
    <row r="3">
      <c r="A3" s="20" t="s">
        <v>15</v>
      </c>
      <c r="B3" s="20" t="s">
        <v>178</v>
      </c>
      <c r="C3" s="20" t="s">
        <v>179</v>
      </c>
      <c r="D3" s="20" t="s">
        <v>180</v>
      </c>
      <c r="E3" s="20" t="s">
        <v>181</v>
      </c>
      <c r="F3" s="20" t="s">
        <v>182</v>
      </c>
      <c r="G3" s="20" t="s">
        <v>180</v>
      </c>
      <c r="H3" s="20" t="s">
        <v>181</v>
      </c>
      <c r="I3" s="20" t="s">
        <v>182</v>
      </c>
      <c r="J3" s="20" t="s">
        <v>180</v>
      </c>
      <c r="K3" s="20" t="s">
        <v>181</v>
      </c>
      <c r="L3" s="20" t="s">
        <v>182</v>
      </c>
      <c r="M3" s="20" t="s">
        <v>180</v>
      </c>
      <c r="N3" s="20" t="s">
        <v>181</v>
      </c>
      <c r="O3" s="20" t="s">
        <v>182</v>
      </c>
      <c r="P3" s="20" t="s">
        <v>180</v>
      </c>
      <c r="Q3" s="20" t="s">
        <v>181</v>
      </c>
      <c r="R3" s="20" t="s">
        <v>182</v>
      </c>
      <c r="S3" s="20" t="s">
        <v>180</v>
      </c>
      <c r="T3" s="20" t="s">
        <v>181</v>
      </c>
      <c r="U3" s="20" t="s">
        <v>182</v>
      </c>
      <c r="V3" s="20" t="s">
        <v>180</v>
      </c>
      <c r="W3" s="20" t="s">
        <v>181</v>
      </c>
      <c r="X3" s="26" t="s">
        <v>182</v>
      </c>
    </row>
    <row r="4">
      <c r="A4" s="9" t="s">
        <v>183</v>
      </c>
      <c r="B4" s="9" t="s">
        <v>184</v>
      </c>
      <c r="D4" s="27">
        <f t="shared" ref="D4:D34" si="1">E4+F4</f>
        <v>60</v>
      </c>
      <c r="E4" s="28">
        <f>IFERROR(VLOOKUP(B4,'Lista Carros'!$A$3:$K$26, 3, FALSE),0)</f>
        <v>60</v>
      </c>
      <c r="F4" s="8"/>
      <c r="G4" s="27">
        <f t="shared" ref="G4:G34" si="2">H4+I4</f>
        <v>5</v>
      </c>
      <c r="H4" s="28">
        <f>IFERROR(VLOOKUP(B4,'Lista Carros'!$A$3:$K$26, 4, FALSE),0)</f>
        <v>5</v>
      </c>
      <c r="I4" s="8"/>
      <c r="J4" s="27">
        <f t="shared" ref="J4:J34" si="3">K4+L4</f>
        <v>10</v>
      </c>
      <c r="K4" s="28">
        <f>IFERROR(VLOOKUP(B4,'Lista Carros'!$A$3:$K$26, 5, FALSE),0)</f>
        <v>10</v>
      </c>
      <c r="L4" s="8"/>
      <c r="M4" s="27">
        <f t="shared" ref="M4:M34" si="4">N4+O4</f>
        <v>2</v>
      </c>
      <c r="N4" s="28">
        <f>IFERROR(VLOOKUP(B4,'Lista Carros'!$A$3:$K$26, 6, FALSE),0)</f>
        <v>2</v>
      </c>
      <c r="O4" s="8"/>
      <c r="P4" s="27">
        <f t="shared" ref="P4:P34" si="5">Q4+R4</f>
        <v>2</v>
      </c>
      <c r="Q4" s="28">
        <f>IFERROR(VLOOKUP(B4,'Lista Carros'!$A$3:$K$26, 8, FALSE),0)</f>
        <v>2</v>
      </c>
      <c r="R4" s="8"/>
      <c r="S4" s="27">
        <f t="shared" ref="S4:S34" si="6">T4+U4</f>
        <v>8</v>
      </c>
      <c r="T4" s="28">
        <f>IFERROR(VLOOKUP(B4,'Lista Carros'!$A$3:$K$26, 9, FALSE),0)</f>
        <v>8</v>
      </c>
      <c r="U4" s="8"/>
      <c r="V4" s="29">
        <f t="shared" ref="V4:V34" si="7">W4+X4</f>
        <v>5</v>
      </c>
      <c r="W4" s="28">
        <f>IFERROR(VLOOKUP(B4,'Lista Carros'!$A$3:$K$26, 10, FALSE),0)</f>
        <v>4</v>
      </c>
      <c r="X4" s="30">
        <f t="shared" ref="X4:X34" si="8">TRUNC(W4*0.3)</f>
        <v>1</v>
      </c>
    </row>
    <row r="5">
      <c r="A5" s="9" t="s">
        <v>185</v>
      </c>
      <c r="B5" s="9" t="s">
        <v>184</v>
      </c>
      <c r="D5" s="27">
        <f t="shared" si="1"/>
        <v>60</v>
      </c>
      <c r="E5" s="28">
        <f>IFERROR(VLOOKUP(B5,'Lista Carros'!$A$3:$K$26, 3, FALSE),0)</f>
        <v>60</v>
      </c>
      <c r="F5" s="8"/>
      <c r="G5" s="27">
        <f t="shared" si="2"/>
        <v>5</v>
      </c>
      <c r="H5" s="28">
        <f>IFERROR(VLOOKUP(B5,'Lista Carros'!$A$3:$K$26, 4, FALSE),0)</f>
        <v>5</v>
      </c>
      <c r="I5" s="8"/>
      <c r="J5" s="27">
        <f t="shared" si="3"/>
        <v>10</v>
      </c>
      <c r="K5" s="28">
        <f>IFERROR(VLOOKUP(B5,'Lista Carros'!$A$3:$K$26, 5, FALSE),0)</f>
        <v>10</v>
      </c>
      <c r="L5" s="8"/>
      <c r="M5" s="27">
        <f t="shared" si="4"/>
        <v>2</v>
      </c>
      <c r="N5" s="28">
        <f>IFERROR(VLOOKUP(B5,'Lista Carros'!$A$3:$K$26, 6, FALSE),0)</f>
        <v>2</v>
      </c>
      <c r="O5" s="8"/>
      <c r="P5" s="27">
        <f t="shared" si="5"/>
        <v>2</v>
      </c>
      <c r="Q5" s="28">
        <f>IFERROR(VLOOKUP(B5,'Lista Carros'!$A$3:$K$26, 8, FALSE),0)</f>
        <v>2</v>
      </c>
      <c r="R5" s="8"/>
      <c r="S5" s="27">
        <f t="shared" si="6"/>
        <v>8</v>
      </c>
      <c r="T5" s="28">
        <f>IFERROR(VLOOKUP(B5,'Lista Carros'!$A$3:$K$26, 9, FALSE),0)</f>
        <v>8</v>
      </c>
      <c r="U5" s="8"/>
      <c r="V5" s="29">
        <f t="shared" si="7"/>
        <v>5</v>
      </c>
      <c r="W5" s="28">
        <f>IFERROR(VLOOKUP(B5,'Lista Carros'!$A$3:$K$26, 10, FALSE),0)</f>
        <v>4</v>
      </c>
      <c r="X5" s="30">
        <f t="shared" si="8"/>
        <v>1</v>
      </c>
    </row>
    <row r="6">
      <c r="A6" s="9" t="s">
        <v>186</v>
      </c>
      <c r="B6" s="9" t="s">
        <v>184</v>
      </c>
      <c r="D6" s="27">
        <f t="shared" si="1"/>
        <v>60</v>
      </c>
      <c r="E6" s="28">
        <f>IFERROR(VLOOKUP(B6,'Lista Carros'!$A$3:$K$26, 3, FALSE),0)</f>
        <v>60</v>
      </c>
      <c r="F6" s="8"/>
      <c r="G6" s="27">
        <f t="shared" si="2"/>
        <v>5</v>
      </c>
      <c r="H6" s="28">
        <f>IFERROR(VLOOKUP(B6,'Lista Carros'!$A$3:$K$26, 4, FALSE),0)</f>
        <v>5</v>
      </c>
      <c r="I6" s="8"/>
      <c r="J6" s="27">
        <f t="shared" si="3"/>
        <v>10</v>
      </c>
      <c r="K6" s="28">
        <f>IFERROR(VLOOKUP(B6,'Lista Carros'!$A$3:$K$26, 5, FALSE),0)</f>
        <v>10</v>
      </c>
      <c r="L6" s="8"/>
      <c r="M6" s="27">
        <f t="shared" si="4"/>
        <v>2</v>
      </c>
      <c r="N6" s="28">
        <f>IFERROR(VLOOKUP(B6,'Lista Carros'!$A$3:$K$26, 6, FALSE),0)</f>
        <v>2</v>
      </c>
      <c r="O6" s="8"/>
      <c r="P6" s="27">
        <f t="shared" si="5"/>
        <v>2</v>
      </c>
      <c r="Q6" s="28">
        <f>IFERROR(VLOOKUP(B6,'Lista Carros'!$A$3:$K$26, 8, FALSE),0)</f>
        <v>2</v>
      </c>
      <c r="R6" s="8"/>
      <c r="S6" s="27">
        <f t="shared" si="6"/>
        <v>8</v>
      </c>
      <c r="T6" s="28">
        <f>IFERROR(VLOOKUP(B6,'Lista Carros'!$A$3:$K$26, 9, FALSE),0)</f>
        <v>8</v>
      </c>
      <c r="U6" s="8"/>
      <c r="V6" s="29">
        <f t="shared" si="7"/>
        <v>5</v>
      </c>
      <c r="W6" s="28">
        <f>IFERROR(VLOOKUP(B6,'Lista Carros'!$A$3:$K$26, 10, FALSE),0)</f>
        <v>4</v>
      </c>
      <c r="X6" s="30">
        <f t="shared" si="8"/>
        <v>1</v>
      </c>
    </row>
    <row r="7">
      <c r="A7" s="9" t="s">
        <v>187</v>
      </c>
      <c r="B7" s="9" t="s">
        <v>184</v>
      </c>
      <c r="D7" s="27">
        <f t="shared" si="1"/>
        <v>60</v>
      </c>
      <c r="E7" s="28">
        <f>IFERROR(VLOOKUP(B7,'Lista Carros'!$A$3:$K$26, 3, FALSE),0)</f>
        <v>60</v>
      </c>
      <c r="F7" s="8"/>
      <c r="G7" s="27">
        <f t="shared" si="2"/>
        <v>5</v>
      </c>
      <c r="H7" s="28">
        <f>IFERROR(VLOOKUP(B7,'Lista Carros'!$A$3:$K$26, 4, FALSE),0)</f>
        <v>5</v>
      </c>
      <c r="I7" s="8"/>
      <c r="J7" s="27">
        <f t="shared" si="3"/>
        <v>10</v>
      </c>
      <c r="K7" s="28">
        <f>IFERROR(VLOOKUP(B7,'Lista Carros'!$A$3:$K$26, 5, FALSE),0)</f>
        <v>10</v>
      </c>
      <c r="L7" s="8"/>
      <c r="M7" s="27">
        <f t="shared" si="4"/>
        <v>2</v>
      </c>
      <c r="N7" s="28">
        <f>IFERROR(VLOOKUP(B7,'Lista Carros'!$A$3:$K$26, 6, FALSE),0)</f>
        <v>2</v>
      </c>
      <c r="O7" s="8"/>
      <c r="P7" s="27">
        <f t="shared" si="5"/>
        <v>2</v>
      </c>
      <c r="Q7" s="28">
        <f>IFERROR(VLOOKUP(B7,'Lista Carros'!$A$3:$K$26, 8, FALSE),0)</f>
        <v>2</v>
      </c>
      <c r="R7" s="8"/>
      <c r="S7" s="27">
        <f t="shared" si="6"/>
        <v>8</v>
      </c>
      <c r="T7" s="28">
        <f>IFERROR(VLOOKUP(B7,'Lista Carros'!$A$3:$K$26, 9, FALSE),0)</f>
        <v>8</v>
      </c>
      <c r="U7" s="8"/>
      <c r="V7" s="29">
        <f t="shared" si="7"/>
        <v>5</v>
      </c>
      <c r="W7" s="28">
        <f>IFERROR(VLOOKUP(B7,'Lista Carros'!$A$3:$K$26, 10, FALSE),0)</f>
        <v>4</v>
      </c>
      <c r="X7" s="30">
        <f t="shared" si="8"/>
        <v>1</v>
      </c>
    </row>
    <row r="8">
      <c r="A8" s="9" t="s">
        <v>188</v>
      </c>
      <c r="B8" s="9" t="s">
        <v>184</v>
      </c>
      <c r="D8" s="27">
        <f t="shared" si="1"/>
        <v>60</v>
      </c>
      <c r="E8" s="28">
        <f>IFERROR(VLOOKUP(B8,'Lista Carros'!$A$3:$K$26, 3, FALSE),0)</f>
        <v>60</v>
      </c>
      <c r="F8" s="8"/>
      <c r="G8" s="27">
        <f t="shared" si="2"/>
        <v>5</v>
      </c>
      <c r="H8" s="28">
        <f>IFERROR(VLOOKUP(B8,'Lista Carros'!$A$3:$K$26, 4, FALSE),0)</f>
        <v>5</v>
      </c>
      <c r="I8" s="8"/>
      <c r="J8" s="27">
        <f t="shared" si="3"/>
        <v>10</v>
      </c>
      <c r="K8" s="28">
        <f>IFERROR(VLOOKUP(B8,'Lista Carros'!$A$3:$K$26, 5, FALSE),0)</f>
        <v>10</v>
      </c>
      <c r="L8" s="8"/>
      <c r="M8" s="27">
        <f t="shared" si="4"/>
        <v>2</v>
      </c>
      <c r="N8" s="28">
        <f>IFERROR(VLOOKUP(B8,'Lista Carros'!$A$3:$K$26, 6, FALSE),0)</f>
        <v>2</v>
      </c>
      <c r="O8" s="8"/>
      <c r="P8" s="27">
        <f t="shared" si="5"/>
        <v>2</v>
      </c>
      <c r="Q8" s="28">
        <f>IFERROR(VLOOKUP(B8,'Lista Carros'!$A$3:$K$26, 8, FALSE),0)</f>
        <v>2</v>
      </c>
      <c r="R8" s="8"/>
      <c r="S8" s="27">
        <f t="shared" si="6"/>
        <v>8</v>
      </c>
      <c r="T8" s="28">
        <f>IFERROR(VLOOKUP(B8,'Lista Carros'!$A$3:$K$26, 9, FALSE),0)</f>
        <v>8</v>
      </c>
      <c r="U8" s="8"/>
      <c r="V8" s="29">
        <f t="shared" si="7"/>
        <v>5</v>
      </c>
      <c r="W8" s="28">
        <f>IFERROR(VLOOKUP(B8,'Lista Carros'!$A$3:$K$26, 10, FALSE),0)</f>
        <v>4</v>
      </c>
      <c r="X8" s="30">
        <f t="shared" si="8"/>
        <v>1</v>
      </c>
    </row>
    <row r="9">
      <c r="A9" s="9" t="s">
        <v>189</v>
      </c>
      <c r="B9" s="9" t="s">
        <v>190</v>
      </c>
      <c r="D9" s="27">
        <f t="shared" si="1"/>
        <v>60</v>
      </c>
      <c r="E9" s="28">
        <f>IFERROR(VLOOKUP(B9,'Lista Carros'!$A$3:$K$26, 3, FALSE),0)</f>
        <v>60</v>
      </c>
      <c r="F9" s="8"/>
      <c r="G9" s="27">
        <f t="shared" si="2"/>
        <v>5</v>
      </c>
      <c r="H9" s="28">
        <f>IFERROR(VLOOKUP(B9,'Lista Carros'!$A$3:$K$26, 4, FALSE),0)</f>
        <v>5</v>
      </c>
      <c r="I9" s="8"/>
      <c r="J9" s="27">
        <f t="shared" si="3"/>
        <v>5</v>
      </c>
      <c r="K9" s="28">
        <f>IFERROR(VLOOKUP(B9,'Lista Carros'!$A$3:$K$26, 5, FALSE),0)</f>
        <v>5</v>
      </c>
      <c r="L9" s="8"/>
      <c r="M9" s="27">
        <f t="shared" si="4"/>
        <v>1</v>
      </c>
      <c r="N9" s="28">
        <f>IFERROR(VLOOKUP(B9,'Lista Carros'!$A$3:$K$26, 6, FALSE),0)</f>
        <v>1</v>
      </c>
      <c r="O9" s="8"/>
      <c r="P9" s="27">
        <f t="shared" si="5"/>
        <v>2</v>
      </c>
      <c r="Q9" s="28">
        <f>IFERROR(VLOOKUP(B9,'Lista Carros'!$A$3:$K$26, 8, FALSE),0)</f>
        <v>2</v>
      </c>
      <c r="R9" s="8"/>
      <c r="S9" s="27">
        <f t="shared" si="6"/>
        <v>10</v>
      </c>
      <c r="T9" s="28">
        <f>IFERROR(VLOOKUP(B9,'Lista Carros'!$A$3:$K$26, 9, FALSE),0)</f>
        <v>10</v>
      </c>
      <c r="U9" s="8"/>
      <c r="V9" s="29">
        <f t="shared" si="7"/>
        <v>2</v>
      </c>
      <c r="W9" s="28">
        <f>IFERROR(VLOOKUP(B9,'Lista Carros'!$A$3:$K$26, 10, FALSE),0)</f>
        <v>2</v>
      </c>
      <c r="X9" s="30">
        <f t="shared" si="8"/>
        <v>0</v>
      </c>
    </row>
    <row r="10">
      <c r="A10" s="9" t="s">
        <v>191</v>
      </c>
      <c r="B10" s="9" t="s">
        <v>192</v>
      </c>
      <c r="D10" s="27">
        <f t="shared" si="1"/>
        <v>60</v>
      </c>
      <c r="E10" s="28">
        <f>IFERROR(VLOOKUP(B10,'Lista Carros'!$A$3:$K$26, 3, FALSE),0)</f>
        <v>60</v>
      </c>
      <c r="F10" s="8"/>
      <c r="G10" s="27">
        <f t="shared" si="2"/>
        <v>5</v>
      </c>
      <c r="H10" s="28">
        <f>IFERROR(VLOOKUP(B10,'Lista Carros'!$A$3:$K$26, 4, FALSE),0)</f>
        <v>5</v>
      </c>
      <c r="I10" s="8"/>
      <c r="J10" s="27">
        <f t="shared" si="3"/>
        <v>5</v>
      </c>
      <c r="K10" s="28">
        <f>IFERROR(VLOOKUP(B10,'Lista Carros'!$A$3:$K$26, 5, FALSE),0)</f>
        <v>5</v>
      </c>
      <c r="L10" s="8"/>
      <c r="M10" s="27">
        <f t="shared" si="4"/>
        <v>1</v>
      </c>
      <c r="N10" s="28">
        <f>IFERROR(VLOOKUP(B10,'Lista Carros'!$A$3:$K$26, 6, FALSE),0)</f>
        <v>1</v>
      </c>
      <c r="O10" s="8"/>
      <c r="P10" s="27">
        <f t="shared" si="5"/>
        <v>2</v>
      </c>
      <c r="Q10" s="28">
        <f>IFERROR(VLOOKUP(B10,'Lista Carros'!$A$3:$K$26, 8, FALSE),0)</f>
        <v>2</v>
      </c>
      <c r="R10" s="8"/>
      <c r="S10" s="27">
        <f t="shared" si="6"/>
        <v>10</v>
      </c>
      <c r="T10" s="28">
        <f>IFERROR(VLOOKUP(B10,'Lista Carros'!$A$3:$K$26, 9, FALSE),0)</f>
        <v>10</v>
      </c>
      <c r="U10" s="8"/>
      <c r="V10" s="29">
        <f t="shared" si="7"/>
        <v>2</v>
      </c>
      <c r="W10" s="28">
        <f>IFERROR(VLOOKUP(B10,'Lista Carros'!$A$3:$K$26, 10, FALSE),0)</f>
        <v>2</v>
      </c>
      <c r="X10" s="30">
        <f t="shared" si="8"/>
        <v>0</v>
      </c>
    </row>
    <row r="11">
      <c r="A11" s="9" t="s">
        <v>193</v>
      </c>
      <c r="B11" s="9" t="s">
        <v>194</v>
      </c>
      <c r="D11" s="27">
        <f t="shared" si="1"/>
        <v>60</v>
      </c>
      <c r="E11" s="28">
        <f>IFERROR(VLOOKUP(B11,'Lista Carros'!$A$3:$K$26, 3, FALSE),0)</f>
        <v>60</v>
      </c>
      <c r="F11" s="8"/>
      <c r="G11" s="27">
        <f t="shared" si="2"/>
        <v>5</v>
      </c>
      <c r="H11" s="28">
        <f>IFERROR(VLOOKUP(B11,'Lista Carros'!$A$3:$K$26, 4, FALSE),0)</f>
        <v>5</v>
      </c>
      <c r="I11" s="8"/>
      <c r="J11" s="27">
        <f t="shared" si="3"/>
        <v>10</v>
      </c>
      <c r="K11" s="28">
        <f>IFERROR(VLOOKUP(B11,'Lista Carros'!$A$3:$K$26, 5, FALSE),0)</f>
        <v>10</v>
      </c>
      <c r="L11" s="8"/>
      <c r="M11" s="27">
        <f t="shared" si="4"/>
        <v>2</v>
      </c>
      <c r="N11" s="28">
        <f>IFERROR(VLOOKUP(B11,'Lista Carros'!$A$3:$K$26, 6, FALSE),0)</f>
        <v>2</v>
      </c>
      <c r="O11" s="8"/>
      <c r="P11" s="27">
        <f t="shared" si="5"/>
        <v>2</v>
      </c>
      <c r="Q11" s="28">
        <f>IFERROR(VLOOKUP(B11,'Lista Carros'!$A$3:$K$26, 8, FALSE),0)</f>
        <v>2</v>
      </c>
      <c r="R11" s="8"/>
      <c r="S11" s="27">
        <f t="shared" si="6"/>
        <v>6</v>
      </c>
      <c r="T11" s="28">
        <f>IFERROR(VLOOKUP(B11,'Lista Carros'!$A$3:$K$26, 9, FALSE),0)</f>
        <v>6</v>
      </c>
      <c r="U11" s="8"/>
      <c r="V11" s="29">
        <f t="shared" si="7"/>
        <v>5</v>
      </c>
      <c r="W11" s="28">
        <f>IFERROR(VLOOKUP(B11,'Lista Carros'!$A$3:$K$26, 10, FALSE),0)</f>
        <v>4</v>
      </c>
      <c r="X11" s="30">
        <f t="shared" si="8"/>
        <v>1</v>
      </c>
    </row>
    <row r="12">
      <c r="A12" s="9" t="s">
        <v>195</v>
      </c>
      <c r="B12" s="9" t="s">
        <v>196</v>
      </c>
      <c r="D12" s="27">
        <f t="shared" si="1"/>
        <v>60</v>
      </c>
      <c r="E12" s="28">
        <f>IFERROR(VLOOKUP(B12,'Lista Carros'!$A$3:$K$26, 3, FALSE),0)</f>
        <v>60</v>
      </c>
      <c r="F12" s="8"/>
      <c r="G12" s="27">
        <f t="shared" si="2"/>
        <v>5</v>
      </c>
      <c r="H12" s="28">
        <f>IFERROR(VLOOKUP(B12,'Lista Carros'!$A$3:$K$26, 4, FALSE),0)</f>
        <v>5</v>
      </c>
      <c r="I12" s="8"/>
      <c r="J12" s="27">
        <f t="shared" si="3"/>
        <v>10</v>
      </c>
      <c r="K12" s="28">
        <f>IFERROR(VLOOKUP(B12,'Lista Carros'!$A$3:$K$26, 5, FALSE),0)</f>
        <v>10</v>
      </c>
      <c r="L12" s="8"/>
      <c r="M12" s="27">
        <f t="shared" si="4"/>
        <v>2</v>
      </c>
      <c r="N12" s="28">
        <f>IFERROR(VLOOKUP(B12,'Lista Carros'!$A$3:$K$26, 6, FALSE),0)</f>
        <v>2</v>
      </c>
      <c r="O12" s="8"/>
      <c r="P12" s="27">
        <f t="shared" si="5"/>
        <v>1</v>
      </c>
      <c r="Q12" s="28">
        <f>IFERROR(VLOOKUP(B12,'Lista Carros'!$A$3:$K$26, 8, FALSE),0)</f>
        <v>1</v>
      </c>
      <c r="R12" s="8"/>
      <c r="S12" s="27">
        <f t="shared" si="6"/>
        <v>1</v>
      </c>
      <c r="T12" s="28">
        <f>IFERROR(VLOOKUP(B12,'Lista Carros'!$A$3:$K$26, 9, FALSE),0)</f>
        <v>1</v>
      </c>
      <c r="U12" s="8"/>
      <c r="V12" s="29">
        <f t="shared" si="7"/>
        <v>13</v>
      </c>
      <c r="W12" s="28">
        <f>IFERROR(VLOOKUP(B12,'Lista Carros'!$A$3:$K$26, 10, FALSE),0)</f>
        <v>10</v>
      </c>
      <c r="X12" s="30">
        <f t="shared" si="8"/>
        <v>3</v>
      </c>
    </row>
    <row r="13">
      <c r="A13" s="9" t="s">
        <v>197</v>
      </c>
      <c r="B13" s="9" t="s">
        <v>196</v>
      </c>
      <c r="D13" s="27">
        <f t="shared" si="1"/>
        <v>60</v>
      </c>
      <c r="E13" s="28">
        <f>IFERROR(VLOOKUP(B13,'Lista Carros'!$A$3:$K$26, 3, FALSE),0)</f>
        <v>60</v>
      </c>
      <c r="F13" s="8"/>
      <c r="G13" s="27">
        <f t="shared" si="2"/>
        <v>5</v>
      </c>
      <c r="H13" s="28">
        <f>IFERROR(VLOOKUP(B13,'Lista Carros'!$A$3:$K$26, 4, FALSE),0)</f>
        <v>5</v>
      </c>
      <c r="I13" s="8"/>
      <c r="J13" s="27">
        <f t="shared" si="3"/>
        <v>10</v>
      </c>
      <c r="K13" s="28">
        <f>IFERROR(VLOOKUP(B13,'Lista Carros'!$A$3:$K$26, 5, FALSE),0)</f>
        <v>10</v>
      </c>
      <c r="L13" s="8"/>
      <c r="M13" s="27">
        <f t="shared" si="4"/>
        <v>2</v>
      </c>
      <c r="N13" s="28">
        <f>IFERROR(VLOOKUP(B13,'Lista Carros'!$A$3:$K$26, 6, FALSE),0)</f>
        <v>2</v>
      </c>
      <c r="O13" s="8"/>
      <c r="P13" s="27">
        <f t="shared" si="5"/>
        <v>1</v>
      </c>
      <c r="Q13" s="28">
        <f>IFERROR(VLOOKUP(B13,'Lista Carros'!$A$3:$K$26, 8, FALSE),0)</f>
        <v>1</v>
      </c>
      <c r="R13" s="8"/>
      <c r="S13" s="27">
        <f t="shared" si="6"/>
        <v>1</v>
      </c>
      <c r="T13" s="28">
        <f>IFERROR(VLOOKUP(B13,'Lista Carros'!$A$3:$K$26, 9, FALSE),0)</f>
        <v>1</v>
      </c>
      <c r="U13" s="8"/>
      <c r="V13" s="29">
        <f t="shared" si="7"/>
        <v>13</v>
      </c>
      <c r="W13" s="28">
        <f>IFERROR(VLOOKUP(B13,'Lista Carros'!$A$3:$K$26, 10, FALSE),0)</f>
        <v>10</v>
      </c>
      <c r="X13" s="30">
        <f t="shared" si="8"/>
        <v>3</v>
      </c>
    </row>
    <row r="14">
      <c r="A14" s="9" t="s">
        <v>198</v>
      </c>
      <c r="B14" s="9" t="s">
        <v>196</v>
      </c>
      <c r="D14" s="27">
        <f t="shared" si="1"/>
        <v>60</v>
      </c>
      <c r="E14" s="28">
        <f>IFERROR(VLOOKUP(B14,'Lista Carros'!$A$3:$K$26, 3, FALSE),0)</f>
        <v>60</v>
      </c>
      <c r="F14" s="8"/>
      <c r="G14" s="27">
        <f t="shared" si="2"/>
        <v>5</v>
      </c>
      <c r="H14" s="28">
        <f>IFERROR(VLOOKUP(B14,'Lista Carros'!$A$3:$K$26, 4, FALSE),0)</f>
        <v>5</v>
      </c>
      <c r="I14" s="8"/>
      <c r="J14" s="27">
        <f t="shared" si="3"/>
        <v>10</v>
      </c>
      <c r="K14" s="28">
        <f>IFERROR(VLOOKUP(B14,'Lista Carros'!$A$3:$K$26, 5, FALSE),0)</f>
        <v>10</v>
      </c>
      <c r="L14" s="8"/>
      <c r="M14" s="27">
        <f t="shared" si="4"/>
        <v>2</v>
      </c>
      <c r="N14" s="28">
        <f>IFERROR(VLOOKUP(B14,'Lista Carros'!$A$3:$K$26, 6, FALSE),0)</f>
        <v>2</v>
      </c>
      <c r="O14" s="8"/>
      <c r="P14" s="27">
        <f t="shared" si="5"/>
        <v>1</v>
      </c>
      <c r="Q14" s="28">
        <f>IFERROR(VLOOKUP(B14,'Lista Carros'!$A$3:$K$26, 8, FALSE),0)</f>
        <v>1</v>
      </c>
      <c r="R14" s="8"/>
      <c r="S14" s="27">
        <f t="shared" si="6"/>
        <v>1</v>
      </c>
      <c r="T14" s="28">
        <f>IFERROR(VLOOKUP(B14,'Lista Carros'!$A$3:$K$26, 9, FALSE),0)</f>
        <v>1</v>
      </c>
      <c r="U14" s="8"/>
      <c r="V14" s="29">
        <f t="shared" si="7"/>
        <v>13</v>
      </c>
      <c r="W14" s="28">
        <f>IFERROR(VLOOKUP(B14,'Lista Carros'!$A$3:$K$26, 10, FALSE),0)</f>
        <v>10</v>
      </c>
      <c r="X14" s="30">
        <f t="shared" si="8"/>
        <v>3</v>
      </c>
    </row>
    <row r="15">
      <c r="A15" s="9" t="s">
        <v>199</v>
      </c>
      <c r="B15" s="9" t="s">
        <v>200</v>
      </c>
      <c r="D15" s="27">
        <f t="shared" si="1"/>
        <v>60</v>
      </c>
      <c r="E15" s="28">
        <f>IFERROR(VLOOKUP(B15,'Lista Carros'!$A$3:$K$26, 3, FALSE),0)</f>
        <v>60</v>
      </c>
      <c r="F15" s="8"/>
      <c r="G15" s="27">
        <f t="shared" si="2"/>
        <v>5</v>
      </c>
      <c r="H15" s="28">
        <f>IFERROR(VLOOKUP(B15,'Lista Carros'!$A$3:$K$26, 4, FALSE),0)</f>
        <v>5</v>
      </c>
      <c r="I15" s="8"/>
      <c r="J15" s="27">
        <f t="shared" si="3"/>
        <v>10</v>
      </c>
      <c r="K15" s="28">
        <f>IFERROR(VLOOKUP(B15,'Lista Carros'!$A$3:$K$26, 5, FALSE),0)</f>
        <v>10</v>
      </c>
      <c r="L15" s="8"/>
      <c r="M15" s="27">
        <f t="shared" si="4"/>
        <v>2</v>
      </c>
      <c r="N15" s="28">
        <f>IFERROR(VLOOKUP(B15,'Lista Carros'!$A$3:$K$26, 6, FALSE),0)</f>
        <v>2</v>
      </c>
      <c r="O15" s="8"/>
      <c r="P15" s="27">
        <f t="shared" si="5"/>
        <v>1</v>
      </c>
      <c r="Q15" s="28">
        <f>IFERROR(VLOOKUP(B15,'Lista Carros'!$A$3:$K$26, 8, FALSE),0)</f>
        <v>1</v>
      </c>
      <c r="R15" s="8"/>
      <c r="S15" s="27">
        <f t="shared" si="6"/>
        <v>1</v>
      </c>
      <c r="T15" s="28">
        <f>IFERROR(VLOOKUP(B15,'Lista Carros'!$A$3:$K$26, 9, FALSE),0)</f>
        <v>1</v>
      </c>
      <c r="U15" s="8"/>
      <c r="V15" s="29">
        <f t="shared" si="7"/>
        <v>26</v>
      </c>
      <c r="W15" s="28">
        <f>IFERROR(VLOOKUP(B15,'Lista Carros'!$A$3:$K$26, 10, FALSE),0)</f>
        <v>20</v>
      </c>
      <c r="X15" s="30">
        <f t="shared" si="8"/>
        <v>6</v>
      </c>
    </row>
    <row r="16">
      <c r="A16" s="9" t="s">
        <v>201</v>
      </c>
      <c r="B16" s="9" t="s">
        <v>200</v>
      </c>
      <c r="D16" s="27">
        <f t="shared" si="1"/>
        <v>60</v>
      </c>
      <c r="E16" s="28">
        <f>IFERROR(VLOOKUP(B16,'Lista Carros'!$A$3:$K$26, 3, FALSE),0)</f>
        <v>60</v>
      </c>
      <c r="F16" s="8"/>
      <c r="G16" s="27">
        <f t="shared" si="2"/>
        <v>5</v>
      </c>
      <c r="H16" s="28">
        <f>IFERROR(VLOOKUP(B16,'Lista Carros'!$A$3:$K$26, 4, FALSE),0)</f>
        <v>5</v>
      </c>
      <c r="I16" s="8"/>
      <c r="J16" s="27">
        <f t="shared" si="3"/>
        <v>10</v>
      </c>
      <c r="K16" s="28">
        <f>IFERROR(VLOOKUP(B16,'Lista Carros'!$A$3:$K$26, 5, FALSE),0)</f>
        <v>10</v>
      </c>
      <c r="L16" s="8"/>
      <c r="M16" s="27">
        <f t="shared" si="4"/>
        <v>2</v>
      </c>
      <c r="N16" s="28">
        <f>IFERROR(VLOOKUP(B16,'Lista Carros'!$A$3:$K$26, 6, FALSE),0)</f>
        <v>2</v>
      </c>
      <c r="O16" s="8"/>
      <c r="P16" s="27">
        <f t="shared" si="5"/>
        <v>1</v>
      </c>
      <c r="Q16" s="28">
        <f>IFERROR(VLOOKUP(B16,'Lista Carros'!$A$3:$K$26, 8, FALSE),0)</f>
        <v>1</v>
      </c>
      <c r="R16" s="8"/>
      <c r="S16" s="27">
        <f t="shared" si="6"/>
        <v>1</v>
      </c>
      <c r="T16" s="28">
        <f>IFERROR(VLOOKUP(B16,'Lista Carros'!$A$3:$K$26, 9, FALSE),0)</f>
        <v>1</v>
      </c>
      <c r="U16" s="8"/>
      <c r="V16" s="29">
        <f t="shared" si="7"/>
        <v>26</v>
      </c>
      <c r="W16" s="28">
        <f>IFERROR(VLOOKUP(B16,'Lista Carros'!$A$3:$K$26, 10, FALSE),0)</f>
        <v>20</v>
      </c>
      <c r="X16" s="30">
        <f t="shared" si="8"/>
        <v>6</v>
      </c>
    </row>
    <row r="17">
      <c r="A17" s="9" t="s">
        <v>202</v>
      </c>
      <c r="B17" s="9" t="s">
        <v>200</v>
      </c>
      <c r="D17" s="27">
        <f t="shared" si="1"/>
        <v>60</v>
      </c>
      <c r="E17" s="28">
        <f>IFERROR(VLOOKUP(B17,'Lista Carros'!$A$3:$K$26, 3, FALSE),0)</f>
        <v>60</v>
      </c>
      <c r="F17" s="8"/>
      <c r="G17" s="27">
        <f t="shared" si="2"/>
        <v>5</v>
      </c>
      <c r="H17" s="28">
        <f>IFERROR(VLOOKUP(B17,'Lista Carros'!$A$3:$K$26, 4, FALSE),0)</f>
        <v>5</v>
      </c>
      <c r="I17" s="8"/>
      <c r="J17" s="27">
        <f t="shared" si="3"/>
        <v>10</v>
      </c>
      <c r="K17" s="28">
        <f>IFERROR(VLOOKUP(B17,'Lista Carros'!$A$3:$K$26, 5, FALSE),0)</f>
        <v>10</v>
      </c>
      <c r="L17" s="8"/>
      <c r="M17" s="27">
        <f t="shared" si="4"/>
        <v>2</v>
      </c>
      <c r="N17" s="28">
        <f>IFERROR(VLOOKUP(B17,'Lista Carros'!$A$3:$K$26, 6, FALSE),0)</f>
        <v>2</v>
      </c>
      <c r="O17" s="8"/>
      <c r="P17" s="27">
        <f t="shared" si="5"/>
        <v>1</v>
      </c>
      <c r="Q17" s="28">
        <f>IFERROR(VLOOKUP(B17,'Lista Carros'!$A$3:$K$26, 8, FALSE),0)</f>
        <v>1</v>
      </c>
      <c r="R17" s="8"/>
      <c r="S17" s="27">
        <f t="shared" si="6"/>
        <v>1</v>
      </c>
      <c r="T17" s="28">
        <f>IFERROR(VLOOKUP(B17,'Lista Carros'!$A$3:$K$26, 9, FALSE),0)</f>
        <v>1</v>
      </c>
      <c r="U17" s="8"/>
      <c r="V17" s="29">
        <f t="shared" si="7"/>
        <v>26</v>
      </c>
      <c r="W17" s="28">
        <f>IFERROR(VLOOKUP(B17,'Lista Carros'!$A$3:$K$26, 10, FALSE),0)</f>
        <v>20</v>
      </c>
      <c r="X17" s="30">
        <f t="shared" si="8"/>
        <v>6</v>
      </c>
    </row>
    <row r="18">
      <c r="A18" s="9" t="s">
        <v>203</v>
      </c>
      <c r="B18" s="9" t="s">
        <v>204</v>
      </c>
      <c r="D18" s="27">
        <f t="shared" si="1"/>
        <v>60</v>
      </c>
      <c r="E18" s="28">
        <f>IFERROR(VLOOKUP(B18,'Lista Carros'!$A$3:$K$26, 3, FALSE),0)</f>
        <v>60</v>
      </c>
      <c r="F18" s="8"/>
      <c r="G18" s="27">
        <f t="shared" si="2"/>
        <v>5</v>
      </c>
      <c r="H18" s="28">
        <f>IFERROR(VLOOKUP(B18,'Lista Carros'!$A$3:$K$26, 4, FALSE),0)</f>
        <v>5</v>
      </c>
      <c r="I18" s="8"/>
      <c r="J18" s="27">
        <f t="shared" si="3"/>
        <v>10</v>
      </c>
      <c r="K18" s="28">
        <f>IFERROR(VLOOKUP(B18,'Lista Carros'!$A$3:$K$26, 5, FALSE),0)</f>
        <v>10</v>
      </c>
      <c r="L18" s="8"/>
      <c r="M18" s="27">
        <f t="shared" si="4"/>
        <v>2</v>
      </c>
      <c r="N18" s="28">
        <f>IFERROR(VLOOKUP(B18,'Lista Carros'!$A$3:$K$26, 6, FALSE),0)</f>
        <v>2</v>
      </c>
      <c r="O18" s="8"/>
      <c r="P18" s="27">
        <f t="shared" si="5"/>
        <v>1</v>
      </c>
      <c r="Q18" s="28">
        <f>IFERROR(VLOOKUP(B18,'Lista Carros'!$A$3:$K$26, 8, FALSE),0)</f>
        <v>1</v>
      </c>
      <c r="R18" s="8"/>
      <c r="S18" s="27">
        <f t="shared" si="6"/>
        <v>1</v>
      </c>
      <c r="T18" s="28">
        <f>IFERROR(VLOOKUP(B18,'Lista Carros'!$A$3:$K$26, 9, FALSE),0)</f>
        <v>1</v>
      </c>
      <c r="U18" s="8"/>
      <c r="V18" s="29">
        <f t="shared" si="7"/>
        <v>26</v>
      </c>
      <c r="W18" s="28">
        <f>IFERROR(VLOOKUP(B18,'Lista Carros'!$A$3:$K$26, 10, FALSE),0)</f>
        <v>20</v>
      </c>
      <c r="X18" s="30">
        <f t="shared" si="8"/>
        <v>6</v>
      </c>
    </row>
    <row r="19">
      <c r="A19" s="9" t="s">
        <v>205</v>
      </c>
      <c r="B19" s="9" t="s">
        <v>204</v>
      </c>
      <c r="D19" s="27">
        <f t="shared" si="1"/>
        <v>60</v>
      </c>
      <c r="E19" s="28">
        <f>IFERROR(VLOOKUP(B19,'Lista Carros'!$A$3:$K$26, 3, FALSE),0)</f>
        <v>60</v>
      </c>
      <c r="F19" s="8"/>
      <c r="G19" s="27">
        <f t="shared" si="2"/>
        <v>5</v>
      </c>
      <c r="H19" s="28">
        <f>IFERROR(VLOOKUP(B19,'Lista Carros'!$A$3:$K$26, 4, FALSE),0)</f>
        <v>5</v>
      </c>
      <c r="I19" s="8"/>
      <c r="J19" s="27">
        <f t="shared" si="3"/>
        <v>10</v>
      </c>
      <c r="K19" s="28">
        <f>IFERROR(VLOOKUP(B19,'Lista Carros'!$A$3:$K$26, 5, FALSE),0)</f>
        <v>10</v>
      </c>
      <c r="L19" s="8"/>
      <c r="M19" s="27">
        <f t="shared" si="4"/>
        <v>2</v>
      </c>
      <c r="N19" s="28">
        <f>IFERROR(VLOOKUP(B19,'Lista Carros'!$A$3:$K$26, 6, FALSE),0)</f>
        <v>2</v>
      </c>
      <c r="O19" s="8"/>
      <c r="P19" s="27">
        <f t="shared" si="5"/>
        <v>1</v>
      </c>
      <c r="Q19" s="28">
        <f>IFERROR(VLOOKUP(B19,'Lista Carros'!$A$3:$K$26, 8, FALSE),0)</f>
        <v>1</v>
      </c>
      <c r="R19" s="8"/>
      <c r="S19" s="27">
        <f t="shared" si="6"/>
        <v>1</v>
      </c>
      <c r="T19" s="28">
        <f>IFERROR(VLOOKUP(B19,'Lista Carros'!$A$3:$K$26, 9, FALSE),0)</f>
        <v>1</v>
      </c>
      <c r="U19" s="8"/>
      <c r="V19" s="29">
        <f t="shared" si="7"/>
        <v>26</v>
      </c>
      <c r="W19" s="28">
        <f>IFERROR(VLOOKUP(B19,'Lista Carros'!$A$3:$K$26, 10, FALSE),0)</f>
        <v>20</v>
      </c>
      <c r="X19" s="30">
        <f t="shared" si="8"/>
        <v>6</v>
      </c>
    </row>
    <row r="20">
      <c r="A20" s="9" t="s">
        <v>57</v>
      </c>
      <c r="B20" s="9" t="s">
        <v>206</v>
      </c>
      <c r="D20" s="27">
        <f t="shared" si="1"/>
        <v>60</v>
      </c>
      <c r="E20" s="28">
        <f>IFERROR(VLOOKUP(B20,'Lista Carros'!$A$3:$K$26, 3, FALSE),0)</f>
        <v>60</v>
      </c>
      <c r="F20" s="8"/>
      <c r="G20" s="27">
        <f t="shared" si="2"/>
        <v>5</v>
      </c>
      <c r="H20" s="28">
        <f>IFERROR(VLOOKUP(B20,'Lista Carros'!$A$3:$K$26, 4, FALSE),0)</f>
        <v>5</v>
      </c>
      <c r="I20" s="8"/>
      <c r="J20" s="27">
        <f t="shared" si="3"/>
        <v>5</v>
      </c>
      <c r="K20" s="28">
        <f>IFERROR(VLOOKUP(B20,'Lista Carros'!$A$3:$K$26, 5, FALSE),0)</f>
        <v>5</v>
      </c>
      <c r="L20" s="8"/>
      <c r="M20" s="27">
        <f t="shared" si="4"/>
        <v>1</v>
      </c>
      <c r="N20" s="28">
        <f>IFERROR(VLOOKUP(B20,'Lista Carros'!$A$3:$K$26, 6, FALSE),0)</f>
        <v>1</v>
      </c>
      <c r="O20" s="8"/>
      <c r="P20" s="27">
        <f t="shared" si="5"/>
        <v>1</v>
      </c>
      <c r="Q20" s="28">
        <f>IFERROR(VLOOKUP(B20,'Lista Carros'!$A$3:$K$26, 8, FALSE),0)</f>
        <v>1</v>
      </c>
      <c r="R20" s="8"/>
      <c r="S20" s="27">
        <f t="shared" si="6"/>
        <v>1</v>
      </c>
      <c r="T20" s="28">
        <f>IFERROR(VLOOKUP(B20,'Lista Carros'!$A$3:$K$26, 9, FALSE),0)</f>
        <v>1</v>
      </c>
      <c r="U20" s="8"/>
      <c r="V20" s="29">
        <f t="shared" si="7"/>
        <v>5</v>
      </c>
      <c r="W20" s="28">
        <f>IFERROR(VLOOKUP(B20,'Lista Carros'!$A$3:$K$26, 10, FALSE),0)</f>
        <v>4</v>
      </c>
      <c r="X20" s="30">
        <f t="shared" si="8"/>
        <v>1</v>
      </c>
    </row>
    <row r="21">
      <c r="A21" s="9" t="s">
        <v>207</v>
      </c>
      <c r="B21" s="9" t="s">
        <v>208</v>
      </c>
      <c r="D21" s="27">
        <f t="shared" si="1"/>
        <v>60</v>
      </c>
      <c r="E21" s="28">
        <f>IFERROR(VLOOKUP(B21,'Lista Carros'!$A$3:$K$26, 3, FALSE),0)</f>
        <v>60</v>
      </c>
      <c r="F21" s="8"/>
      <c r="G21" s="27">
        <f t="shared" si="2"/>
        <v>5</v>
      </c>
      <c r="H21" s="28">
        <f>IFERROR(VLOOKUP(B21,'Lista Carros'!$A$3:$K$26, 4, FALSE),0)</f>
        <v>5</v>
      </c>
      <c r="I21" s="8"/>
      <c r="J21" s="27">
        <f t="shared" si="3"/>
        <v>8</v>
      </c>
      <c r="K21" s="28">
        <f>IFERROR(VLOOKUP(B21,'Lista Carros'!$A$3:$K$26, 5, FALSE),0)</f>
        <v>8</v>
      </c>
      <c r="L21" s="8"/>
      <c r="M21" s="27">
        <f t="shared" si="4"/>
        <v>2</v>
      </c>
      <c r="N21" s="28">
        <f>IFERROR(VLOOKUP(B21,'Lista Carros'!$A$3:$K$26, 6, FALSE),0)</f>
        <v>2</v>
      </c>
      <c r="O21" s="8"/>
      <c r="P21" s="27">
        <f t="shared" si="5"/>
        <v>1</v>
      </c>
      <c r="Q21" s="28">
        <f>IFERROR(VLOOKUP(B21,'Lista Carros'!$A$3:$K$26, 8, FALSE),0)</f>
        <v>1</v>
      </c>
      <c r="R21" s="8"/>
      <c r="S21" s="27">
        <f t="shared" si="6"/>
        <v>2</v>
      </c>
      <c r="T21" s="28">
        <f>IFERROR(VLOOKUP(B21,'Lista Carros'!$A$3:$K$26, 9, FALSE),0)</f>
        <v>2</v>
      </c>
      <c r="U21" s="8"/>
      <c r="V21" s="29">
        <f t="shared" si="7"/>
        <v>5</v>
      </c>
      <c r="W21" s="28">
        <f>IFERROR(VLOOKUP(B21,'Lista Carros'!$A$3:$K$26, 10, FALSE),0)</f>
        <v>4</v>
      </c>
      <c r="X21" s="30">
        <f t="shared" si="8"/>
        <v>1</v>
      </c>
    </row>
    <row r="22">
      <c r="A22" s="9" t="s">
        <v>209</v>
      </c>
      <c r="B22" s="9" t="s">
        <v>210</v>
      </c>
      <c r="D22" s="27">
        <f t="shared" si="1"/>
        <v>60</v>
      </c>
      <c r="E22" s="28">
        <f>IFERROR(VLOOKUP(B22,'Lista Carros'!$A$3:$K$26, 3, FALSE),0)</f>
        <v>60</v>
      </c>
      <c r="F22" s="8"/>
      <c r="G22" s="27">
        <f t="shared" si="2"/>
        <v>5</v>
      </c>
      <c r="H22" s="28">
        <f>IFERROR(VLOOKUP(B22,'Lista Carros'!$A$3:$K$26, 4, FALSE),0)</f>
        <v>5</v>
      </c>
      <c r="I22" s="8"/>
      <c r="J22" s="27">
        <f t="shared" si="3"/>
        <v>8</v>
      </c>
      <c r="K22" s="28">
        <f>IFERROR(VLOOKUP(B22,'Lista Carros'!$A$3:$K$26, 5, FALSE),0)</f>
        <v>8</v>
      </c>
      <c r="L22" s="8"/>
      <c r="M22" s="27">
        <f t="shared" si="4"/>
        <v>2</v>
      </c>
      <c r="N22" s="28">
        <f>IFERROR(VLOOKUP(B22,'Lista Carros'!$A$3:$K$26, 6, FALSE),0)</f>
        <v>2</v>
      </c>
      <c r="O22" s="8"/>
      <c r="P22" s="27">
        <f t="shared" si="5"/>
        <v>2</v>
      </c>
      <c r="Q22" s="28">
        <f>IFERROR(VLOOKUP(B22,'Lista Carros'!$A$3:$K$26, 8, FALSE),0)</f>
        <v>2</v>
      </c>
      <c r="R22" s="8"/>
      <c r="S22" s="27">
        <f t="shared" si="6"/>
        <v>2</v>
      </c>
      <c r="T22" s="28">
        <f>IFERROR(VLOOKUP(B22,'Lista Carros'!$A$3:$K$26, 9, FALSE),0)</f>
        <v>2</v>
      </c>
      <c r="U22" s="8"/>
      <c r="V22" s="29">
        <f t="shared" si="7"/>
        <v>5</v>
      </c>
      <c r="W22" s="28">
        <f>IFERROR(VLOOKUP(B22,'Lista Carros'!$A$3:$K$26, 10, FALSE),0)</f>
        <v>4</v>
      </c>
      <c r="X22" s="30">
        <f t="shared" si="8"/>
        <v>1</v>
      </c>
    </row>
    <row r="23">
      <c r="A23" s="9" t="s">
        <v>211</v>
      </c>
      <c r="B23" s="9" t="s">
        <v>212</v>
      </c>
      <c r="D23" s="27">
        <f t="shared" si="1"/>
        <v>60</v>
      </c>
      <c r="E23" s="28">
        <f>IFERROR(VLOOKUP(B23,'Lista Carros'!$A$3:$K$26, 3, FALSE),0)</f>
        <v>60</v>
      </c>
      <c r="F23" s="8"/>
      <c r="G23" s="27">
        <f t="shared" si="2"/>
        <v>5</v>
      </c>
      <c r="H23" s="28">
        <f>IFERROR(VLOOKUP(B23,'Lista Carros'!$A$3:$K$26, 4, FALSE),0)</f>
        <v>5</v>
      </c>
      <c r="I23" s="8"/>
      <c r="J23" s="27">
        <f t="shared" si="3"/>
        <v>10</v>
      </c>
      <c r="K23" s="28">
        <f>IFERROR(VLOOKUP(B23,'Lista Carros'!$A$3:$K$26, 5, FALSE),0)</f>
        <v>10</v>
      </c>
      <c r="L23" s="8"/>
      <c r="M23" s="27">
        <f t="shared" si="4"/>
        <v>2</v>
      </c>
      <c r="N23" s="28">
        <f>IFERROR(VLOOKUP(B23,'Lista Carros'!$A$3:$K$26, 6, FALSE),0)</f>
        <v>2</v>
      </c>
      <c r="O23" s="8"/>
      <c r="P23" s="27">
        <f t="shared" si="5"/>
        <v>1</v>
      </c>
      <c r="Q23" s="28">
        <f>IFERROR(VLOOKUP(B23,'Lista Carros'!$A$3:$K$26, 8, FALSE),0)</f>
        <v>1</v>
      </c>
      <c r="R23" s="8"/>
      <c r="S23" s="27">
        <f t="shared" si="6"/>
        <v>2</v>
      </c>
      <c r="T23" s="28">
        <f>IFERROR(VLOOKUP(B23,'Lista Carros'!$A$3:$K$26, 9, FALSE),0)</f>
        <v>2</v>
      </c>
      <c r="U23" s="8"/>
      <c r="V23" s="29">
        <f t="shared" si="7"/>
        <v>1</v>
      </c>
      <c r="W23" s="28">
        <f>IFERROR(VLOOKUP(B23,'Lista Carros'!$A$3:$K$26, 10, FALSE),0)</f>
        <v>1</v>
      </c>
      <c r="X23" s="30">
        <f t="shared" si="8"/>
        <v>0</v>
      </c>
    </row>
    <row r="24">
      <c r="A24" s="9" t="s">
        <v>213</v>
      </c>
      <c r="B24" s="9" t="s">
        <v>212</v>
      </c>
      <c r="D24" s="27">
        <f t="shared" si="1"/>
        <v>60</v>
      </c>
      <c r="E24" s="28">
        <f>IFERROR(VLOOKUP(B24,'Lista Carros'!$A$3:$K$26, 3, FALSE),0)</f>
        <v>60</v>
      </c>
      <c r="F24" s="8"/>
      <c r="G24" s="27">
        <f t="shared" si="2"/>
        <v>5</v>
      </c>
      <c r="H24" s="28">
        <f>IFERROR(VLOOKUP(B24,'Lista Carros'!$A$3:$K$26, 4, FALSE),0)</f>
        <v>5</v>
      </c>
      <c r="I24" s="8"/>
      <c r="J24" s="27">
        <f t="shared" si="3"/>
        <v>10</v>
      </c>
      <c r="K24" s="28">
        <f>IFERROR(VLOOKUP(B24,'Lista Carros'!$A$3:$K$26, 5, FALSE),0)</f>
        <v>10</v>
      </c>
      <c r="L24" s="8"/>
      <c r="M24" s="27">
        <f t="shared" si="4"/>
        <v>2</v>
      </c>
      <c r="N24" s="28">
        <f>IFERROR(VLOOKUP(B24,'Lista Carros'!$A$3:$K$26, 6, FALSE),0)</f>
        <v>2</v>
      </c>
      <c r="O24" s="8"/>
      <c r="P24" s="27">
        <f t="shared" si="5"/>
        <v>1</v>
      </c>
      <c r="Q24" s="28">
        <f>IFERROR(VLOOKUP(B24,'Lista Carros'!$A$3:$K$26, 8, FALSE),0)</f>
        <v>1</v>
      </c>
      <c r="R24" s="8"/>
      <c r="S24" s="27">
        <f t="shared" si="6"/>
        <v>2</v>
      </c>
      <c r="T24" s="28">
        <f>IFERROR(VLOOKUP(B24,'Lista Carros'!$A$3:$K$26, 9, FALSE),0)</f>
        <v>2</v>
      </c>
      <c r="U24" s="8"/>
      <c r="V24" s="29">
        <f t="shared" si="7"/>
        <v>1</v>
      </c>
      <c r="W24" s="28">
        <f>IFERROR(VLOOKUP(B24,'Lista Carros'!$A$3:$K$26, 10, FALSE),0)</f>
        <v>1</v>
      </c>
      <c r="X24" s="30">
        <f t="shared" si="8"/>
        <v>0</v>
      </c>
    </row>
    <row r="25">
      <c r="A25" s="9" t="s">
        <v>214</v>
      </c>
      <c r="B25" s="9" t="s">
        <v>212</v>
      </c>
      <c r="D25" s="27">
        <f t="shared" si="1"/>
        <v>60</v>
      </c>
      <c r="E25" s="28">
        <f>IFERROR(VLOOKUP(B25,'Lista Carros'!$A$3:$K$26, 3, FALSE),0)</f>
        <v>60</v>
      </c>
      <c r="F25" s="8"/>
      <c r="G25" s="27">
        <f t="shared" si="2"/>
        <v>5</v>
      </c>
      <c r="H25" s="28">
        <f>IFERROR(VLOOKUP(B25,'Lista Carros'!$A$3:$K$26, 4, FALSE),0)</f>
        <v>5</v>
      </c>
      <c r="I25" s="8"/>
      <c r="J25" s="27">
        <f t="shared" si="3"/>
        <v>10</v>
      </c>
      <c r="K25" s="28">
        <f>IFERROR(VLOOKUP(B25,'Lista Carros'!$A$3:$K$26, 5, FALSE),0)</f>
        <v>10</v>
      </c>
      <c r="L25" s="8"/>
      <c r="M25" s="27">
        <f t="shared" si="4"/>
        <v>2</v>
      </c>
      <c r="N25" s="28">
        <f>IFERROR(VLOOKUP(B25,'Lista Carros'!$A$3:$K$26, 6, FALSE),0)</f>
        <v>2</v>
      </c>
      <c r="O25" s="8"/>
      <c r="P25" s="27">
        <f t="shared" si="5"/>
        <v>1</v>
      </c>
      <c r="Q25" s="28">
        <f>IFERROR(VLOOKUP(B25,'Lista Carros'!$A$3:$K$26, 8, FALSE),0)</f>
        <v>1</v>
      </c>
      <c r="R25" s="8"/>
      <c r="S25" s="27">
        <f t="shared" si="6"/>
        <v>2</v>
      </c>
      <c r="T25" s="28">
        <f>IFERROR(VLOOKUP(B25,'Lista Carros'!$A$3:$K$26, 9, FALSE),0)</f>
        <v>2</v>
      </c>
      <c r="U25" s="8"/>
      <c r="V25" s="29">
        <f t="shared" si="7"/>
        <v>1</v>
      </c>
      <c r="W25" s="28">
        <f>IFERROR(VLOOKUP(B25,'Lista Carros'!$A$3:$K$26, 10, FALSE),0)</f>
        <v>1</v>
      </c>
      <c r="X25" s="30">
        <f t="shared" si="8"/>
        <v>0</v>
      </c>
    </row>
    <row r="26">
      <c r="A26" s="9" t="s">
        <v>215</v>
      </c>
      <c r="B26" s="9" t="s">
        <v>216</v>
      </c>
      <c r="D26" s="27">
        <f t="shared" si="1"/>
        <v>40</v>
      </c>
      <c r="E26" s="28">
        <f>IFERROR(VLOOKUP(B26,'Lista Carros'!$A$3:$K$26, 3, FALSE),0)</f>
        <v>40</v>
      </c>
      <c r="F26" s="8"/>
      <c r="G26" s="27">
        <f t="shared" si="2"/>
        <v>5</v>
      </c>
      <c r="H26" s="28">
        <f>IFERROR(VLOOKUP(B26,'Lista Carros'!$A$3:$K$26, 4, FALSE),0)</f>
        <v>5</v>
      </c>
      <c r="I26" s="8"/>
      <c r="J26" s="27">
        <f t="shared" si="3"/>
        <v>10</v>
      </c>
      <c r="K26" s="28">
        <f>IFERROR(VLOOKUP(B26,'Lista Carros'!$A$3:$K$26, 5, FALSE),0)</f>
        <v>10</v>
      </c>
      <c r="L26" s="8"/>
      <c r="M26" s="27">
        <f t="shared" si="4"/>
        <v>2</v>
      </c>
      <c r="N26" s="28">
        <f>IFERROR(VLOOKUP(B26,'Lista Carros'!$A$3:$K$26, 6, FALSE),0)</f>
        <v>2</v>
      </c>
      <c r="O26" s="8"/>
      <c r="P26" s="27">
        <f t="shared" si="5"/>
        <v>2</v>
      </c>
      <c r="Q26" s="28">
        <f>IFERROR(VLOOKUP(B26,'Lista Carros'!$A$3:$K$26, 8, FALSE),0)</f>
        <v>2</v>
      </c>
      <c r="R26" s="8"/>
      <c r="S26" s="27">
        <f t="shared" si="6"/>
        <v>6</v>
      </c>
      <c r="T26" s="28">
        <f>IFERROR(VLOOKUP(B26,'Lista Carros'!$A$3:$K$26, 9, FALSE),0)</f>
        <v>6</v>
      </c>
      <c r="U26" s="8"/>
      <c r="V26" s="29">
        <f t="shared" si="7"/>
        <v>1</v>
      </c>
      <c r="W26" s="28">
        <f>IFERROR(VLOOKUP(B26,'Lista Carros'!$A$3:$K$26, 10, FALSE),0)</f>
        <v>1</v>
      </c>
      <c r="X26" s="30">
        <f t="shared" si="8"/>
        <v>0</v>
      </c>
    </row>
    <row r="27">
      <c r="A27" s="9" t="s">
        <v>217</v>
      </c>
      <c r="B27" s="9" t="s">
        <v>218</v>
      </c>
      <c r="D27" s="27">
        <f t="shared" si="1"/>
        <v>60</v>
      </c>
      <c r="E27" s="28">
        <f>IFERROR(VLOOKUP(B27,'Lista Carros'!$A$3:$K$26, 3, FALSE),0)</f>
        <v>60</v>
      </c>
      <c r="F27" s="8"/>
      <c r="G27" s="27">
        <f t="shared" si="2"/>
        <v>5</v>
      </c>
      <c r="H27" s="28">
        <f>IFERROR(VLOOKUP(B27,'Lista Carros'!$A$3:$K$26, 4, FALSE),0)</f>
        <v>5</v>
      </c>
      <c r="I27" s="8"/>
      <c r="J27" s="27">
        <f t="shared" si="3"/>
        <v>10</v>
      </c>
      <c r="K27" s="28">
        <f>IFERROR(VLOOKUP(B27,'Lista Carros'!$A$3:$K$26, 5, FALSE),0)</f>
        <v>10</v>
      </c>
      <c r="L27" s="8"/>
      <c r="M27" s="27">
        <f t="shared" si="4"/>
        <v>2</v>
      </c>
      <c r="N27" s="28">
        <f>IFERROR(VLOOKUP(B27,'Lista Carros'!$A$3:$K$26, 6, FALSE),0)</f>
        <v>2</v>
      </c>
      <c r="O27" s="8"/>
      <c r="P27" s="27">
        <f t="shared" si="5"/>
        <v>2</v>
      </c>
      <c r="Q27" s="28">
        <f>IFERROR(VLOOKUP(B27,'Lista Carros'!$A$3:$K$26, 8, FALSE),0)</f>
        <v>2</v>
      </c>
      <c r="R27" s="8"/>
      <c r="S27" s="27">
        <f t="shared" si="6"/>
        <v>3</v>
      </c>
      <c r="T27" s="28">
        <f>IFERROR(VLOOKUP(B27,'Lista Carros'!$A$3:$K$26, 9, FALSE),0)</f>
        <v>3</v>
      </c>
      <c r="U27" s="8"/>
      <c r="V27" s="29">
        <f t="shared" si="7"/>
        <v>6</v>
      </c>
      <c r="W27" s="28">
        <f>IFERROR(VLOOKUP(B27,'Lista Carros'!$A$3:$K$26, 10, FALSE),0)</f>
        <v>5</v>
      </c>
      <c r="X27" s="30">
        <f t="shared" si="8"/>
        <v>1</v>
      </c>
    </row>
    <row r="28">
      <c r="A28" s="9" t="s">
        <v>219</v>
      </c>
      <c r="B28" s="9" t="s">
        <v>220</v>
      </c>
      <c r="C28" s="9" t="s">
        <v>221</v>
      </c>
      <c r="D28" s="27">
        <f t="shared" si="1"/>
        <v>90</v>
      </c>
      <c r="E28" s="28">
        <f>IFERROR(VLOOKUP(B28,'Lista Carros'!$A$3:$K$26, 3, FALSE),0)</f>
        <v>60</v>
      </c>
      <c r="F28" s="8">
        <f t="shared" ref="F28:F30" si="9">E28*0.5</f>
        <v>30</v>
      </c>
      <c r="G28" s="27">
        <f t="shared" si="2"/>
        <v>10</v>
      </c>
      <c r="H28" s="28">
        <f>IFERROR(VLOOKUP(B28,'Lista Carros'!$A$3:$K$26, 4, FALSE),0)</f>
        <v>5</v>
      </c>
      <c r="I28" s="31">
        <v>5.0</v>
      </c>
      <c r="J28" s="27">
        <f t="shared" si="3"/>
        <v>14</v>
      </c>
      <c r="K28" s="28">
        <f>IFERROR(VLOOKUP(B28,'Lista Carros'!$A$3:$K$26, 5, FALSE),0)</f>
        <v>6</v>
      </c>
      <c r="L28" s="31">
        <f t="shared" ref="L28:L30" si="10">K28+2</f>
        <v>8</v>
      </c>
      <c r="M28" s="27">
        <f t="shared" si="4"/>
        <v>2</v>
      </c>
      <c r="N28" s="28">
        <f>IFERROR(VLOOKUP(B28,'Lista Carros'!$A$3:$K$26, 6, FALSE),0)</f>
        <v>1</v>
      </c>
      <c r="O28" s="31">
        <v>1.0</v>
      </c>
      <c r="P28" s="27">
        <f t="shared" si="5"/>
        <v>2</v>
      </c>
      <c r="Q28" s="28">
        <f>IFERROR(VLOOKUP(B28,'Lista Carros'!$A$3:$K$26, 8, FALSE),0)</f>
        <v>1</v>
      </c>
      <c r="R28" s="31">
        <v>1.0</v>
      </c>
      <c r="S28" s="27">
        <f t="shared" si="6"/>
        <v>5</v>
      </c>
      <c r="T28" s="28">
        <f>IFERROR(VLOOKUP(B28,'Lista Carros'!$A$3:$K$26, 9, FALSE),0)</f>
        <v>4</v>
      </c>
      <c r="U28" s="31">
        <f t="shared" ref="U28:U29" si="11">TRUNC(T28*0.25)</f>
        <v>1</v>
      </c>
      <c r="V28" s="29">
        <f t="shared" si="7"/>
        <v>5</v>
      </c>
      <c r="W28" s="28">
        <f>IFERROR(VLOOKUP(B28,'Lista Carros'!$A$3:$K$26, 10, FALSE),0)</f>
        <v>4</v>
      </c>
      <c r="X28" s="30">
        <f t="shared" si="8"/>
        <v>1</v>
      </c>
    </row>
    <row r="29">
      <c r="A29" s="9" t="s">
        <v>222</v>
      </c>
      <c r="B29" s="9" t="s">
        <v>220</v>
      </c>
      <c r="C29" s="9" t="s">
        <v>221</v>
      </c>
      <c r="D29" s="27">
        <f t="shared" si="1"/>
        <v>90</v>
      </c>
      <c r="E29" s="28">
        <f>IFERROR(VLOOKUP(B29,'Lista Carros'!$A$3:$K$26, 3, FALSE),0)</f>
        <v>60</v>
      </c>
      <c r="F29" s="8">
        <f t="shared" si="9"/>
        <v>30</v>
      </c>
      <c r="G29" s="27">
        <f t="shared" si="2"/>
        <v>10</v>
      </c>
      <c r="H29" s="28">
        <f>IFERROR(VLOOKUP(B29,'Lista Carros'!$A$3:$K$26, 4, FALSE),0)</f>
        <v>5</v>
      </c>
      <c r="I29" s="31">
        <v>5.0</v>
      </c>
      <c r="J29" s="27">
        <f t="shared" si="3"/>
        <v>14</v>
      </c>
      <c r="K29" s="28">
        <f>IFERROR(VLOOKUP(B29,'Lista Carros'!$A$3:$K$26, 5, FALSE),0)</f>
        <v>6</v>
      </c>
      <c r="L29" s="31">
        <f t="shared" si="10"/>
        <v>8</v>
      </c>
      <c r="M29" s="27">
        <f t="shared" si="4"/>
        <v>2</v>
      </c>
      <c r="N29" s="28">
        <f>IFERROR(VLOOKUP(B29,'Lista Carros'!$A$3:$K$26, 6, FALSE),0)</f>
        <v>1</v>
      </c>
      <c r="O29" s="31">
        <v>1.0</v>
      </c>
      <c r="P29" s="27">
        <f t="shared" si="5"/>
        <v>2</v>
      </c>
      <c r="Q29" s="28">
        <f>IFERROR(VLOOKUP(B29,'Lista Carros'!$A$3:$K$26, 8, FALSE),0)</f>
        <v>1</v>
      </c>
      <c r="R29" s="31">
        <v>1.0</v>
      </c>
      <c r="S29" s="27">
        <f t="shared" si="6"/>
        <v>5</v>
      </c>
      <c r="T29" s="28">
        <f>IFERROR(VLOOKUP(B29,'Lista Carros'!$A$3:$K$26, 9, FALSE),0)</f>
        <v>4</v>
      </c>
      <c r="U29" s="31">
        <f t="shared" si="11"/>
        <v>1</v>
      </c>
      <c r="V29" s="29">
        <f t="shared" si="7"/>
        <v>5</v>
      </c>
      <c r="W29" s="28">
        <f>IFERROR(VLOOKUP(B29,'Lista Carros'!$A$3:$K$26, 10, FALSE),0)</f>
        <v>4</v>
      </c>
      <c r="X29" s="30">
        <f t="shared" si="8"/>
        <v>1</v>
      </c>
    </row>
    <row r="30">
      <c r="A30" s="9" t="s">
        <v>223</v>
      </c>
      <c r="B30" s="9" t="s">
        <v>224</v>
      </c>
      <c r="C30" s="9" t="s">
        <v>225</v>
      </c>
      <c r="D30" s="27">
        <f t="shared" si="1"/>
        <v>120</v>
      </c>
      <c r="E30" s="28">
        <f>IFERROR(VLOOKUP(B30,'Lista Carros'!$A$3:$K$26, 3, FALSE),0)</f>
        <v>80</v>
      </c>
      <c r="F30" s="8">
        <f t="shared" si="9"/>
        <v>40</v>
      </c>
      <c r="G30" s="27">
        <f t="shared" si="2"/>
        <v>10</v>
      </c>
      <c r="H30" s="28">
        <f>IFERROR(VLOOKUP(B30,'Lista Carros'!$A$3:$K$26, 4, FALSE),0)</f>
        <v>5</v>
      </c>
      <c r="I30" s="31">
        <v>5.0</v>
      </c>
      <c r="J30" s="27">
        <f t="shared" si="3"/>
        <v>18</v>
      </c>
      <c r="K30" s="28">
        <f>IFERROR(VLOOKUP(B30,'Lista Carros'!$A$3:$K$26, 5, FALSE),0)</f>
        <v>8</v>
      </c>
      <c r="L30" s="31">
        <f t="shared" si="10"/>
        <v>10</v>
      </c>
      <c r="M30" s="27">
        <f t="shared" si="4"/>
        <v>4</v>
      </c>
      <c r="N30" s="28">
        <f>IFERROR(VLOOKUP(B30,'Lista Carros'!$A$3:$K$26, 6, FALSE),0)</f>
        <v>2</v>
      </c>
      <c r="O30" s="31">
        <v>2.0</v>
      </c>
      <c r="P30" s="27">
        <f t="shared" si="5"/>
        <v>2</v>
      </c>
      <c r="Q30" s="28">
        <f>IFERROR(VLOOKUP(B30,'Lista Carros'!$A$3:$K$26, 8, FALSE),0)</f>
        <v>2</v>
      </c>
      <c r="R30" s="8"/>
      <c r="S30" s="27">
        <f t="shared" si="6"/>
        <v>3</v>
      </c>
      <c r="T30" s="28">
        <f>IFERROR(VLOOKUP(B30,'Lista Carros'!$A$3:$K$26, 9, FALSE),0)</f>
        <v>3</v>
      </c>
      <c r="U30" s="31"/>
      <c r="V30" s="29">
        <f t="shared" si="7"/>
        <v>2</v>
      </c>
      <c r="W30" s="28">
        <f>IFERROR(VLOOKUP(B30,'Lista Carros'!$A$3:$K$26, 10, FALSE),0)</f>
        <v>2</v>
      </c>
      <c r="X30" s="30">
        <f t="shared" si="8"/>
        <v>0</v>
      </c>
    </row>
    <row r="31">
      <c r="A31" s="9" t="s">
        <v>226</v>
      </c>
      <c r="B31" s="9" t="s">
        <v>184</v>
      </c>
      <c r="C31" s="9" t="s">
        <v>227</v>
      </c>
      <c r="D31" s="27">
        <f t="shared" si="1"/>
        <v>60</v>
      </c>
      <c r="E31" s="28">
        <f>IFERROR(VLOOKUP(B31,'Lista Carros'!$A$3:$K$26, 3, FALSE),0)</f>
        <v>60</v>
      </c>
      <c r="F31" s="8"/>
      <c r="G31" s="27">
        <f t="shared" si="2"/>
        <v>5</v>
      </c>
      <c r="H31" s="28">
        <f>IFERROR(VLOOKUP(B31,'Lista Carros'!$A$3:$K$26, 4, FALSE),0)</f>
        <v>5</v>
      </c>
      <c r="I31" s="8"/>
      <c r="J31" s="27">
        <f t="shared" si="3"/>
        <v>12</v>
      </c>
      <c r="K31" s="28">
        <f>IFERROR(VLOOKUP(B31,'Lista Carros'!$A$3:$K$26, 5, FALSE),0)</f>
        <v>10</v>
      </c>
      <c r="L31" s="31">
        <v>2.0</v>
      </c>
      <c r="M31" s="27">
        <f t="shared" si="4"/>
        <v>2</v>
      </c>
      <c r="N31" s="28">
        <f>IFERROR(VLOOKUP(B31,'Lista Carros'!$A$3:$K$26, 6, FALSE),0)</f>
        <v>2</v>
      </c>
      <c r="O31" s="8"/>
      <c r="P31" s="27">
        <f t="shared" si="5"/>
        <v>2</v>
      </c>
      <c r="Q31" s="28">
        <f>IFERROR(VLOOKUP(B31,'Lista Carros'!$A$3:$K$26, 8, FALSE),0)</f>
        <v>2</v>
      </c>
      <c r="R31" s="8"/>
      <c r="S31" s="27">
        <f t="shared" si="6"/>
        <v>10</v>
      </c>
      <c r="T31" s="28">
        <f>IFERROR(VLOOKUP(B31,'Lista Carros'!$A$3:$K$26, 9, FALSE),0)</f>
        <v>8</v>
      </c>
      <c r="U31" s="31">
        <f>TRUNC(T31*0.25)</f>
        <v>2</v>
      </c>
      <c r="V31" s="29">
        <f t="shared" si="7"/>
        <v>5</v>
      </c>
      <c r="W31" s="28">
        <f>IFERROR(VLOOKUP(B31,'Lista Carros'!$A$3:$K$26, 10, FALSE),0)</f>
        <v>4</v>
      </c>
      <c r="X31" s="30">
        <f t="shared" si="8"/>
        <v>1</v>
      </c>
    </row>
    <row r="32">
      <c r="B32" s="22"/>
      <c r="D32" s="27">
        <f t="shared" si="1"/>
        <v>0</v>
      </c>
      <c r="E32" s="28">
        <f>IFERROR(VLOOKUP(B32,'Lista Carros'!$A$3:$K$26, 3, FALSE),0)</f>
        <v>0</v>
      </c>
      <c r="F32" s="8"/>
      <c r="G32" s="27">
        <f t="shared" si="2"/>
        <v>0</v>
      </c>
      <c r="H32" s="28">
        <f>IFERROR(VLOOKUP(B32,'Lista Carros'!$A$3:$K$26, 4, FALSE),0)</f>
        <v>0</v>
      </c>
      <c r="I32" s="8"/>
      <c r="J32" s="27">
        <f t="shared" si="3"/>
        <v>0</v>
      </c>
      <c r="K32" s="28">
        <f>IFERROR(VLOOKUP(B32,'Lista Carros'!$A$3:$K$26, 5, FALSE),0)</f>
        <v>0</v>
      </c>
      <c r="L32" s="8"/>
      <c r="M32" s="27">
        <f t="shared" si="4"/>
        <v>0</v>
      </c>
      <c r="N32" s="28">
        <f>IFERROR(VLOOKUP(B32,'Lista Carros'!$A$3:$K$26, 6, FALSE),0)</f>
        <v>0</v>
      </c>
      <c r="O32" s="8"/>
      <c r="P32" s="27">
        <f t="shared" si="5"/>
        <v>0</v>
      </c>
      <c r="Q32" s="28">
        <f>IFERROR(VLOOKUP(B32,'Lista Carros'!$A$3:$K$26, 8, FALSE),0)</f>
        <v>0</v>
      </c>
      <c r="R32" s="8"/>
      <c r="S32" s="27">
        <f t="shared" si="6"/>
        <v>0</v>
      </c>
      <c r="T32" s="28">
        <f>IFERROR(VLOOKUP(B32,'Lista Carros'!$A$3:$K$26, 9, FALSE),0)</f>
        <v>0</v>
      </c>
      <c r="U32" s="8"/>
      <c r="V32" s="29">
        <f t="shared" si="7"/>
        <v>0</v>
      </c>
      <c r="W32" s="28">
        <f>IFERROR(VLOOKUP(B32,'Lista Carros'!$A$3:$K$26, 10, FALSE),0)</f>
        <v>0</v>
      </c>
      <c r="X32" s="30">
        <f t="shared" si="8"/>
        <v>0</v>
      </c>
    </row>
    <row r="33">
      <c r="B33" s="22"/>
      <c r="D33" s="27">
        <f t="shared" si="1"/>
        <v>0</v>
      </c>
      <c r="E33" s="28">
        <f>IFERROR(VLOOKUP(B33,'Lista Carros'!$A$3:$K$26, 3, FALSE),0)</f>
        <v>0</v>
      </c>
      <c r="F33" s="8"/>
      <c r="G33" s="27">
        <f t="shared" si="2"/>
        <v>0</v>
      </c>
      <c r="H33" s="28">
        <f>IFERROR(VLOOKUP(B33,'Lista Carros'!$A$3:$K$26, 4, FALSE),0)</f>
        <v>0</v>
      </c>
      <c r="I33" s="8"/>
      <c r="J33" s="27">
        <f t="shared" si="3"/>
        <v>0</v>
      </c>
      <c r="K33" s="28">
        <f>IFERROR(VLOOKUP(B33,'Lista Carros'!$A$3:$K$26, 5, FALSE),0)</f>
        <v>0</v>
      </c>
      <c r="L33" s="8"/>
      <c r="M33" s="27">
        <f t="shared" si="4"/>
        <v>0</v>
      </c>
      <c r="N33" s="28">
        <f>IFERROR(VLOOKUP(B33,'Lista Carros'!$A$3:$K$26, 6, FALSE),0)</f>
        <v>0</v>
      </c>
      <c r="O33" s="8"/>
      <c r="P33" s="27">
        <f t="shared" si="5"/>
        <v>0</v>
      </c>
      <c r="Q33" s="28">
        <f>IFERROR(VLOOKUP(B33,'Lista Carros'!$A$3:$K$26, 8, FALSE),0)</f>
        <v>0</v>
      </c>
      <c r="R33" s="8"/>
      <c r="S33" s="27">
        <f t="shared" si="6"/>
        <v>0</v>
      </c>
      <c r="T33" s="28">
        <f>IFERROR(VLOOKUP(B33,'Lista Carros'!$A$3:$K$26, 9, FALSE),0)</f>
        <v>0</v>
      </c>
      <c r="U33" s="8"/>
      <c r="V33" s="29">
        <f t="shared" si="7"/>
        <v>0</v>
      </c>
      <c r="W33" s="28">
        <f>IFERROR(VLOOKUP(B33,'Lista Carros'!$A$3:$K$26, 10, FALSE),0)</f>
        <v>0</v>
      </c>
      <c r="X33" s="30">
        <f t="shared" si="8"/>
        <v>0</v>
      </c>
    </row>
    <row r="34">
      <c r="B34" s="22"/>
      <c r="D34" s="27">
        <f t="shared" si="1"/>
        <v>0</v>
      </c>
      <c r="E34" s="28">
        <f>IFERROR(VLOOKUP(B34,'Lista Carros'!$A$3:$K$26, 3, FALSE),0)</f>
        <v>0</v>
      </c>
      <c r="F34" s="8"/>
      <c r="G34" s="27">
        <f t="shared" si="2"/>
        <v>0</v>
      </c>
      <c r="H34" s="28">
        <f>IFERROR(VLOOKUP(B34,'Lista Carros'!$A$3:$K$26, 4, FALSE),0)</f>
        <v>0</v>
      </c>
      <c r="I34" s="8"/>
      <c r="J34" s="27">
        <f t="shared" si="3"/>
        <v>0</v>
      </c>
      <c r="K34" s="28">
        <f>IFERROR(VLOOKUP(B34,'Lista Carros'!$A$3:$K$26, 5, FALSE),0)</f>
        <v>0</v>
      </c>
      <c r="L34" s="8"/>
      <c r="M34" s="27">
        <f t="shared" si="4"/>
        <v>0</v>
      </c>
      <c r="N34" s="28">
        <f>IFERROR(VLOOKUP(B34,'Lista Carros'!$A$3:$K$26, 6, FALSE),0)</f>
        <v>0</v>
      </c>
      <c r="O34" s="8"/>
      <c r="P34" s="27">
        <f t="shared" si="5"/>
        <v>0</v>
      </c>
      <c r="Q34" s="28">
        <f>IFERROR(VLOOKUP(B34,'Lista Carros'!$A$3:$K$26, 8, FALSE),0)</f>
        <v>0</v>
      </c>
      <c r="R34" s="8"/>
      <c r="S34" s="27">
        <f t="shared" si="6"/>
        <v>0</v>
      </c>
      <c r="T34" s="28">
        <f>IFERROR(VLOOKUP(B34,'Lista Carros'!$A$3:$K$26, 9, FALSE),0)</f>
        <v>0</v>
      </c>
      <c r="U34" s="8"/>
      <c r="V34" s="29">
        <f t="shared" si="7"/>
        <v>0</v>
      </c>
      <c r="W34" s="28">
        <f>IFERROR(VLOOKUP(B34,'Lista Carros'!$A$3:$K$26, 10, FALSE),0)</f>
        <v>0</v>
      </c>
      <c r="X34" s="30">
        <f t="shared" si="8"/>
        <v>0</v>
      </c>
    </row>
  </sheetData>
  <mergeCells count="10">
    <mergeCell ref="G2:I2"/>
    <mergeCell ref="J2:L2"/>
    <mergeCell ref="A1:C2"/>
    <mergeCell ref="D1:I1"/>
    <mergeCell ref="J1:O1"/>
    <mergeCell ref="P1:R2"/>
    <mergeCell ref="S1:U2"/>
    <mergeCell ref="V1:X2"/>
    <mergeCell ref="D2:F2"/>
    <mergeCell ref="M2:O2"/>
  </mergeCells>
  <dataValidations>
    <dataValidation type="list" allowBlank="1" showErrorMessage="1" sqref="B4:B34">
      <formula1>'Lista Carros'!$A$3:$A$26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5.75"/>
    <col customWidth="1" min="3" max="3" width="16.13"/>
    <col customWidth="1" min="4" max="4" width="20.13"/>
    <col customWidth="1" min="5" max="5" width="23.0"/>
    <col customWidth="1" min="6" max="6" width="23.63"/>
    <col customWidth="1" min="7" max="7" width="26.0"/>
    <col customWidth="1" min="8" max="8" width="35.88"/>
    <col customWidth="1" min="9" max="9" width="24.25"/>
    <col customWidth="1" min="10" max="11" width="20.5"/>
    <col customWidth="1" min="12" max="12" width="19.63"/>
    <col customWidth="1" min="13" max="13" width="21.75"/>
  </cols>
  <sheetData>
    <row r="1">
      <c r="A1" s="32" t="s">
        <v>7</v>
      </c>
      <c r="B1" s="32" t="s">
        <v>228</v>
      </c>
      <c r="C1" s="32" t="s">
        <v>229</v>
      </c>
      <c r="D1" s="32" t="s">
        <v>230</v>
      </c>
      <c r="E1" s="33">
        <v>1.0</v>
      </c>
      <c r="F1" s="33">
        <f t="shared" ref="F1:S1" si="1">E1+1</f>
        <v>2</v>
      </c>
      <c r="G1" s="33">
        <f t="shared" si="1"/>
        <v>3</v>
      </c>
      <c r="H1" s="33">
        <f t="shared" si="1"/>
        <v>4</v>
      </c>
      <c r="I1" s="33">
        <f t="shared" si="1"/>
        <v>5</v>
      </c>
      <c r="J1" s="33">
        <f t="shared" si="1"/>
        <v>6</v>
      </c>
      <c r="K1" s="33">
        <f t="shared" si="1"/>
        <v>7</v>
      </c>
      <c r="L1" s="33">
        <f t="shared" si="1"/>
        <v>8</v>
      </c>
      <c r="M1" s="33">
        <f t="shared" si="1"/>
        <v>9</v>
      </c>
      <c r="N1" s="33">
        <f t="shared" si="1"/>
        <v>10</v>
      </c>
      <c r="O1" s="33">
        <f t="shared" si="1"/>
        <v>11</v>
      </c>
      <c r="P1" s="33">
        <f t="shared" si="1"/>
        <v>12</v>
      </c>
      <c r="Q1" s="33">
        <f t="shared" si="1"/>
        <v>13</v>
      </c>
      <c r="R1" s="33">
        <f t="shared" si="1"/>
        <v>14</v>
      </c>
      <c r="S1" s="33">
        <f t="shared" si="1"/>
        <v>15</v>
      </c>
    </row>
    <row r="2">
      <c r="A2" s="34" t="str">
        <f>Caravana!A4</f>
        <v>Viajeros 1</v>
      </c>
      <c r="B2" s="21">
        <f>IFERROR(VLOOKUP($A2,Carros!$1:$34, 19, FALSE),"")</f>
        <v>8</v>
      </c>
      <c r="C2" s="21">
        <f>'Ocupación Carro-Viajeros'!B2</f>
        <v>8</v>
      </c>
      <c r="D2" s="21">
        <f>'Consumo Carro-Viajeros'!B2</f>
        <v>8</v>
      </c>
      <c r="E2" s="9" t="s">
        <v>60</v>
      </c>
      <c r="F2" s="9" t="s">
        <v>62</v>
      </c>
      <c r="G2" s="9" t="s">
        <v>63</v>
      </c>
      <c r="H2" s="9" t="s">
        <v>65</v>
      </c>
      <c r="I2" s="9" t="s">
        <v>66</v>
      </c>
      <c r="J2" s="9" t="s">
        <v>67</v>
      </c>
      <c r="K2" s="9" t="s">
        <v>231</v>
      </c>
      <c r="L2" s="9" t="s">
        <v>157</v>
      </c>
      <c r="M2" s="22"/>
      <c r="N2" s="22"/>
      <c r="O2" s="22"/>
      <c r="P2" s="22"/>
      <c r="Q2" s="22"/>
      <c r="R2" s="22"/>
      <c r="S2" s="22"/>
    </row>
    <row r="3">
      <c r="A3" s="34" t="str">
        <f>Caravana!A5</f>
        <v>Viajeros 2</v>
      </c>
      <c r="B3" s="21">
        <f>IFERROR(VLOOKUP($A3,Carros!$1:$34, 19, FALSE),"")</f>
        <v>8</v>
      </c>
      <c r="C3" s="21">
        <f>'Ocupación Carro-Viajeros'!B3</f>
        <v>7</v>
      </c>
      <c r="D3" s="21">
        <f>'Consumo Carro-Viajeros'!B3</f>
        <v>7</v>
      </c>
      <c r="E3" s="9" t="s">
        <v>122</v>
      </c>
      <c r="F3" s="9" t="s">
        <v>124</v>
      </c>
      <c r="G3" s="9" t="s">
        <v>126</v>
      </c>
      <c r="H3" s="9" t="s">
        <v>128</v>
      </c>
      <c r="I3" s="9" t="s">
        <v>156</v>
      </c>
      <c r="J3" s="9" t="s">
        <v>158</v>
      </c>
      <c r="K3" s="9" t="s">
        <v>168</v>
      </c>
      <c r="L3" s="22"/>
      <c r="M3" s="22"/>
      <c r="N3" s="22"/>
      <c r="O3" s="22"/>
      <c r="P3" s="22"/>
      <c r="Q3" s="22"/>
      <c r="R3" s="22"/>
      <c r="S3" s="22"/>
    </row>
    <row r="4">
      <c r="A4" s="34" t="str">
        <f>Caravana!A6</f>
        <v>Viajeros 3</v>
      </c>
      <c r="B4" s="21">
        <f>IFERROR(VLOOKUP($A4,Carros!$1:$34, 19, FALSE),"")</f>
        <v>8</v>
      </c>
      <c r="C4" s="21">
        <f>'Ocupación Carro-Viajeros'!B4</f>
        <v>7</v>
      </c>
      <c r="D4" s="21">
        <f>'Consumo Carro-Viajeros'!B4</f>
        <v>7</v>
      </c>
      <c r="E4" s="9" t="s">
        <v>131</v>
      </c>
      <c r="F4" s="9" t="s">
        <v>152</v>
      </c>
      <c r="G4" s="9" t="s">
        <v>155</v>
      </c>
      <c r="H4" s="9" t="s">
        <v>159</v>
      </c>
      <c r="I4" s="9" t="s">
        <v>162</v>
      </c>
      <c r="J4" s="9" t="s">
        <v>150</v>
      </c>
      <c r="K4" s="9" t="s">
        <v>151</v>
      </c>
      <c r="L4" s="22"/>
      <c r="M4" s="22"/>
      <c r="N4" s="22"/>
      <c r="O4" s="22"/>
      <c r="P4" s="22"/>
      <c r="Q4" s="22"/>
      <c r="R4" s="22"/>
      <c r="S4" s="22"/>
    </row>
    <row r="5">
      <c r="A5" s="34" t="str">
        <f>Caravana!A7</f>
        <v>Viajeros 4</v>
      </c>
      <c r="B5" s="21">
        <f>IFERROR(VLOOKUP($A5,Carros!$1:$34, 19, FALSE),"")</f>
        <v>8</v>
      </c>
      <c r="C5" s="21">
        <f>'Ocupación Carro-Viajeros'!B5</f>
        <v>7</v>
      </c>
      <c r="D5" s="21">
        <f>'Consumo Carro-Viajeros'!B5</f>
        <v>7</v>
      </c>
      <c r="E5" s="9" t="s">
        <v>140</v>
      </c>
      <c r="F5" s="9" t="s">
        <v>133</v>
      </c>
      <c r="G5" s="9" t="s">
        <v>153</v>
      </c>
      <c r="H5" s="9" t="s">
        <v>160</v>
      </c>
      <c r="I5" s="9" t="s">
        <v>163</v>
      </c>
      <c r="J5" s="9" t="s">
        <v>164</v>
      </c>
      <c r="K5" s="9" t="s">
        <v>172</v>
      </c>
      <c r="L5" s="22"/>
      <c r="M5" s="22"/>
      <c r="N5" s="22"/>
      <c r="O5" s="22"/>
      <c r="P5" s="22"/>
      <c r="Q5" s="22"/>
      <c r="R5" s="22"/>
      <c r="S5" s="22"/>
    </row>
    <row r="6">
      <c r="A6" s="34" t="str">
        <f>Caravana!A8</f>
        <v>Viajeros 5</v>
      </c>
      <c r="B6" s="21">
        <f>IFERROR(VLOOKUP($A6,Carros!$1:$34, 19, FALSE),"")</f>
        <v>8</v>
      </c>
      <c r="C6" s="21">
        <f>'Ocupación Carro-Viajeros'!B6</f>
        <v>6</v>
      </c>
      <c r="D6" s="21">
        <f>'Consumo Carro-Viajeros'!B6</f>
        <v>6</v>
      </c>
      <c r="E6" s="9" t="s">
        <v>142</v>
      </c>
      <c r="F6" s="9" t="s">
        <v>144</v>
      </c>
      <c r="G6" s="9" t="s">
        <v>147</v>
      </c>
      <c r="H6" s="9" t="s">
        <v>154</v>
      </c>
      <c r="I6" s="9" t="s">
        <v>161</v>
      </c>
      <c r="J6" s="9" t="s">
        <v>78</v>
      </c>
      <c r="K6" s="22"/>
      <c r="L6" s="22"/>
      <c r="M6" s="22"/>
      <c r="N6" s="22"/>
      <c r="O6" s="22"/>
      <c r="P6" s="22"/>
      <c r="Q6" s="22"/>
      <c r="R6" s="22"/>
      <c r="S6" s="22"/>
    </row>
    <row r="7">
      <c r="A7" s="34" t="str">
        <f>Caravana!A9</f>
        <v>Prisioneros</v>
      </c>
      <c r="B7" s="21">
        <f>IFERROR(VLOOKUP($A7,Carros!$1:$34, 19, FALSE),"")</f>
        <v>10</v>
      </c>
      <c r="C7" s="21">
        <f>'Ocupación Carro-Viajeros'!B7</f>
        <v>0</v>
      </c>
      <c r="D7" s="21">
        <f>'Consumo Carro-Viajeros'!B7</f>
        <v>0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</row>
    <row r="8">
      <c r="A8" s="34" t="str">
        <f>Caravana!A10</f>
        <v>Zoo</v>
      </c>
      <c r="B8" s="21">
        <f>IFERROR(VLOOKUP($A8,Carros!$1:$34, 19, FALSE),"")</f>
        <v>10</v>
      </c>
      <c r="C8" s="21">
        <f>'Ocupación Carro-Viajeros'!B8</f>
        <v>8.5</v>
      </c>
      <c r="D8" s="21">
        <f>'Consumo Carro-Viajeros'!B8</f>
        <v>1</v>
      </c>
      <c r="E8" s="9" t="s">
        <v>232</v>
      </c>
      <c r="F8" s="9" t="s">
        <v>166</v>
      </c>
      <c r="G8" s="9" t="s">
        <v>233</v>
      </c>
      <c r="H8" s="9" t="s">
        <v>170</v>
      </c>
      <c r="I8" s="22"/>
      <c r="J8" s="9"/>
      <c r="K8" s="22"/>
      <c r="L8" s="22"/>
      <c r="M8" s="22"/>
      <c r="N8" s="22"/>
      <c r="O8" s="22"/>
      <c r="P8" s="22"/>
      <c r="Q8" s="22"/>
      <c r="R8" s="22"/>
      <c r="S8" s="22"/>
    </row>
    <row r="9">
      <c r="A9" s="34" t="str">
        <f>Caravana!A11</f>
        <v>Familias Kalsgard</v>
      </c>
      <c r="B9" s="21">
        <f>IFERROR(VLOOKUP($A9,Carros!$1:$34, 19, FALSE),"")</f>
        <v>6</v>
      </c>
      <c r="C9" s="21">
        <f>'Ocupación Carro-Viajeros'!B9</f>
        <v>6.5</v>
      </c>
      <c r="D9" s="21">
        <f>'Consumo Carro-Viajeros'!B9</f>
        <v>8</v>
      </c>
      <c r="E9" s="9" t="s">
        <v>104</v>
      </c>
      <c r="F9" s="9" t="s">
        <v>107</v>
      </c>
      <c r="G9" s="9" t="s">
        <v>109</v>
      </c>
      <c r="H9" s="9" t="s">
        <v>112</v>
      </c>
      <c r="I9" s="9" t="s">
        <v>114</v>
      </c>
      <c r="J9" s="9" t="s">
        <v>116</v>
      </c>
      <c r="K9" s="9" t="s">
        <v>118</v>
      </c>
      <c r="L9" s="9" t="s">
        <v>120</v>
      </c>
      <c r="M9" s="22"/>
      <c r="N9" s="22"/>
      <c r="O9" s="22"/>
      <c r="P9" s="22"/>
      <c r="Q9" s="22"/>
      <c r="R9" s="22"/>
      <c r="S9" s="22"/>
    </row>
    <row r="10">
      <c r="A10" s="34" t="str">
        <f>Caravana!A12</f>
        <v>Mercancías Hierro</v>
      </c>
      <c r="B10" s="21">
        <f>IFERROR(VLOOKUP($A10,Carros!$1:$34, 19, FALSE),"")</f>
        <v>1</v>
      </c>
      <c r="C10" s="21">
        <f>'Ocupación Carro-Viajeros'!B10</f>
        <v>0</v>
      </c>
      <c r="D10" s="21">
        <f>'Consumo Carro-Viajeros'!B10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>
      <c r="A11" s="34" t="str">
        <f>Caravana!A13</f>
        <v>Mercancías General</v>
      </c>
      <c r="B11" s="21">
        <f>IFERROR(VLOOKUP($A11,Carros!$1:$34, 19, FALSE),"")</f>
        <v>1</v>
      </c>
      <c r="C11" s="21">
        <f>'Ocupación Carro-Viajeros'!B11</f>
        <v>0</v>
      </c>
      <c r="D11" s="21">
        <f>'Consumo Carro-Viajeros'!B11</f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>
      <c r="A12" s="34" t="str">
        <f>Caravana!A14</f>
        <v>Mercancías Punta Arena</v>
      </c>
      <c r="B12" s="21">
        <f>IFERROR(VLOOKUP($A12,Carros!$1:$34, 19, FALSE),"")</f>
        <v>1</v>
      </c>
      <c r="C12" s="21">
        <f>'Ocupación Carro-Viajeros'!B12</f>
        <v>0</v>
      </c>
      <c r="D12" s="21">
        <f>'Consumo Carro-Viajeros'!B12</f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>
      <c r="A13" s="34" t="str">
        <f>Caravana!A15</f>
        <v>Mercancías Kalsgard</v>
      </c>
      <c r="B13" s="21">
        <f>IFERROR(VLOOKUP($A13,Carros!$1:$34, 19, FALSE),"")</f>
        <v>1</v>
      </c>
      <c r="C13" s="21">
        <f>'Ocupación Carro-Viajeros'!B13</f>
        <v>0</v>
      </c>
      <c r="D13" s="21">
        <f>'Consumo Carro-Viajeros'!B13</f>
        <v>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>
      <c r="A14" s="34" t="str">
        <f>Caravana!A16</f>
        <v>Carbón</v>
      </c>
      <c r="B14" s="21">
        <f>IFERROR(VLOOKUP($A14,Carros!$1:$34, 19, FALSE),"")</f>
        <v>1</v>
      </c>
      <c r="C14" s="21">
        <f>'Ocupación Carro-Viajeros'!B14</f>
        <v>0</v>
      </c>
      <c r="D14" s="21">
        <f>'Consumo Carro-Viajeros'!B14</f>
        <v>0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>
      <c r="A15" s="34" t="str">
        <f>Caravana!A17</f>
        <v>Queso</v>
      </c>
      <c r="B15" s="21">
        <f>IFERROR(VLOOKUP($A15,Carros!$1:$34, 19, FALSE),"")</f>
        <v>1</v>
      </c>
      <c r="C15" s="21">
        <f>'Ocupación Carro-Viajeros'!B15</f>
        <v>1</v>
      </c>
      <c r="D15" s="21">
        <f>'Consumo Carro-Viajeros'!B15</f>
        <v>1</v>
      </c>
      <c r="E15" s="9" t="s">
        <v>138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>
      <c r="A16" s="34" t="str">
        <f>Caravana!A18</f>
        <v>Suministros 1</v>
      </c>
      <c r="B16" s="21">
        <f>IFERROR(VLOOKUP($A16,Carros!$1:$34, 19, FALSE),"")</f>
        <v>1</v>
      </c>
      <c r="C16" s="21">
        <f>'Ocupación Carro-Viajeros'!B16</f>
        <v>0</v>
      </c>
      <c r="D16" s="21">
        <f>'Consumo Carro-Viajeros'!B16</f>
        <v>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>
      <c r="A17" s="34" t="str">
        <f>Caravana!A19</f>
        <v>Suministros 2</v>
      </c>
      <c r="B17" s="21">
        <f>IFERROR(VLOOKUP($A17,Carros!$1:$34, 19, FALSE),"")</f>
        <v>1</v>
      </c>
      <c r="C17" s="21">
        <f>'Ocupación Carro-Viajeros'!B17</f>
        <v>0</v>
      </c>
      <c r="D17" s="21">
        <f>'Consumo Carro-Viajeros'!B17</f>
        <v>0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>
      <c r="A18" s="34" t="str">
        <f>Caravana!A20</f>
        <v>Koya</v>
      </c>
      <c r="B18" s="21">
        <f>IFERROR(VLOOKUP($A18,Carros!$1:$34, 19, FALSE),"")</f>
        <v>1</v>
      </c>
      <c r="C18" s="21">
        <f>'Ocupación Carro-Viajeros'!B18</f>
        <v>1</v>
      </c>
      <c r="D18" s="21">
        <f>'Consumo Carro-Viajeros'!B18</f>
        <v>1</v>
      </c>
      <c r="E18" s="9" t="s">
        <v>57</v>
      </c>
      <c r="F18" s="9" t="s">
        <v>79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>
      <c r="A19" s="34" t="str">
        <f>Caravana!A21</f>
        <v>Taller</v>
      </c>
      <c r="B19" s="21">
        <f>IFERROR(VLOOKUP($A19,Carros!$1:$34, 19, FALSE),"")</f>
        <v>2</v>
      </c>
      <c r="C19" s="21">
        <f>'Ocupación Carro-Viajeros'!B19</f>
        <v>0</v>
      </c>
      <c r="D19" s="21">
        <f>'Consumo Carro-Viajeros'!B19</f>
        <v>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>
      <c r="A20" s="34" t="str">
        <f>Caravana!A22</f>
        <v>Escuela</v>
      </c>
      <c r="B20" s="21">
        <f>IFERROR(VLOOKUP($A20,Carros!$1:$34, 19, FALSE),"")</f>
        <v>2</v>
      </c>
      <c r="C20" s="21">
        <f>'Ocupación Carro-Viajeros'!B20</f>
        <v>1</v>
      </c>
      <c r="D20" s="21">
        <f>'Consumo Carro-Viajeros'!B20</f>
        <v>1</v>
      </c>
      <c r="E20" s="9" t="s">
        <v>72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>
      <c r="A21" s="34" t="str">
        <f>Caravana!A23</f>
        <v>Huerto Hagorsson</v>
      </c>
      <c r="B21" s="21">
        <f>IFERROR(VLOOKUP($A21,Carros!$1:$34, 19, FALSE),"")</f>
        <v>2</v>
      </c>
      <c r="C21" s="21">
        <f>'Ocupación Carro-Viajeros'!B21</f>
        <v>0</v>
      </c>
      <c r="D21" s="21">
        <f>'Consumo Carro-Viajeros'!B21</f>
        <v>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>
      <c r="A22" s="34" t="str">
        <f>Caravana!A24</f>
        <v>Huerto 1</v>
      </c>
      <c r="B22" s="21">
        <f>IFERROR(VLOOKUP($A22,Carros!$1:$34, 19, FALSE),"")</f>
        <v>2</v>
      </c>
      <c r="C22" s="21">
        <f>'Ocupación Carro-Viajeros'!B22</f>
        <v>2</v>
      </c>
      <c r="D22" s="21">
        <f>'Consumo Carro-Viajeros'!B22</f>
        <v>2</v>
      </c>
      <c r="E22" s="9" t="s">
        <v>130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>
      <c r="A23" s="34" t="str">
        <f>Caravana!A25</f>
        <v>Huerto 2</v>
      </c>
      <c r="B23" s="21">
        <f>IFERROR(VLOOKUP($A23,Carros!$1:$34, 19, FALSE),"")</f>
        <v>2</v>
      </c>
      <c r="C23" s="21">
        <f>'Ocupación Carro-Viajeros'!B23</f>
        <v>0</v>
      </c>
      <c r="D23" s="21">
        <f>'Consumo Carro-Viajeros'!B23</f>
        <v>0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>
      <c r="A24" s="34" t="str">
        <f>Caravana!A26</f>
        <v>Hospital</v>
      </c>
      <c r="B24" s="21">
        <f>IFERROR(VLOOKUP($A24,Carros!$1:$34, 19, FALSE),"")</f>
        <v>6</v>
      </c>
      <c r="C24" s="21">
        <f>'Ocupación Carro-Viajeros'!B24</f>
        <v>0</v>
      </c>
      <c r="D24" s="21">
        <f>'Consumo Carro-Viajeros'!B24</f>
        <v>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>
      <c r="A25" s="34" t="str">
        <f>Caravana!A27</f>
        <v>Bar sin límites</v>
      </c>
      <c r="B25" s="21">
        <f>IFERROR(VLOOKUP($A25,Carros!$1:$34, 19, FALSE),"")</f>
        <v>3</v>
      </c>
      <c r="C25" s="21">
        <f>'Ocupación Carro-Viajeros'!B25</f>
        <v>2.5</v>
      </c>
      <c r="D25" s="21">
        <f>'Consumo Carro-Viajeros'!B25</f>
        <v>3</v>
      </c>
      <c r="E25" s="9" t="s">
        <v>70</v>
      </c>
      <c r="F25" s="9" t="s">
        <v>33</v>
      </c>
      <c r="G25" s="9" t="s">
        <v>69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>
      <c r="A26" s="34" t="str">
        <f>Caravana!A28</f>
        <v>Cómodo 1</v>
      </c>
      <c r="B26" s="21">
        <f>IFERROR(VLOOKUP($A26,Carros!$1:$34, 19, FALSE),"")</f>
        <v>5</v>
      </c>
      <c r="C26" s="21">
        <f>'Ocupación Carro-Viajeros'!B26</f>
        <v>4.5</v>
      </c>
      <c r="D26" s="21">
        <f>'Consumo Carro-Viajeros'!B26</f>
        <v>5</v>
      </c>
      <c r="E26" s="9" t="s">
        <v>27</v>
      </c>
      <c r="F26" s="9" t="s">
        <v>50</v>
      </c>
      <c r="G26" s="9" t="s">
        <v>91</v>
      </c>
      <c r="H26" s="9" t="s">
        <v>37</v>
      </c>
      <c r="I26" s="9" t="s">
        <v>167</v>
      </c>
      <c r="J26" s="9" t="s">
        <v>135</v>
      </c>
      <c r="K26" s="22"/>
      <c r="L26" s="22"/>
      <c r="M26" s="22"/>
      <c r="N26" s="22"/>
      <c r="O26" s="22"/>
      <c r="P26" s="22"/>
      <c r="Q26" s="22"/>
      <c r="R26" s="22"/>
      <c r="S26" s="22"/>
    </row>
    <row r="27">
      <c r="A27" s="34" t="str">
        <f>Caravana!A29</f>
        <v>Cómodo 2</v>
      </c>
      <c r="B27" s="21">
        <f>IFERROR(VLOOKUP($A27,Carros!$1:$34, 19, FALSE),"")</f>
        <v>5</v>
      </c>
      <c r="C27" s="21">
        <f>'Ocupación Carro-Viajeros'!B27</f>
        <v>4</v>
      </c>
      <c r="D27" s="21">
        <f>'Consumo Carro-Viajeros'!B27</f>
        <v>5</v>
      </c>
      <c r="E27" s="9" t="s">
        <v>36</v>
      </c>
      <c r="F27" s="9" t="s">
        <v>92</v>
      </c>
      <c r="G27" s="9" t="s">
        <v>94</v>
      </c>
      <c r="H27" s="9" t="s">
        <v>44</v>
      </c>
      <c r="I27" s="9" t="s">
        <v>137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>
      <c r="A28" s="34" t="str">
        <f>Caravana!A30</f>
        <v>Real</v>
      </c>
      <c r="B28" s="21">
        <f>IFERROR(VLOOKUP($A28,Carros!$1:$34, 19, FALSE),"")</f>
        <v>3</v>
      </c>
      <c r="C28" s="21">
        <f>'Ocupación Carro-Viajeros'!B28</f>
        <v>3</v>
      </c>
      <c r="D28" s="21">
        <f>'Consumo Carro-Viajeros'!B28</f>
        <v>4</v>
      </c>
      <c r="E28" s="9" t="s">
        <v>54</v>
      </c>
      <c r="F28" s="9" t="s">
        <v>40</v>
      </c>
      <c r="G28" s="9" t="s">
        <v>31</v>
      </c>
      <c r="H28" s="9" t="s">
        <v>74</v>
      </c>
      <c r="I28" s="9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>
      <c r="A29" s="34" t="str">
        <f>Caravana!A31</f>
        <v>Viajeros grande</v>
      </c>
      <c r="B29" s="21">
        <f>IFERROR(VLOOKUP($A29,Carros!$1:$34, 19, FALSE),"")</f>
        <v>10</v>
      </c>
      <c r="C29" s="21">
        <f>'Ocupación Carro-Viajeros'!B29</f>
        <v>9</v>
      </c>
      <c r="D29" s="21">
        <f>'Consumo Carro-Viajeros'!B29</f>
        <v>9</v>
      </c>
      <c r="E29" s="9" t="s">
        <v>80</v>
      </c>
      <c r="F29" s="9" t="s">
        <v>82</v>
      </c>
      <c r="G29" s="9" t="s">
        <v>84</v>
      </c>
      <c r="H29" s="9" t="s">
        <v>85</v>
      </c>
      <c r="I29" s="9" t="s">
        <v>86</v>
      </c>
      <c r="J29" s="9" t="s">
        <v>87</v>
      </c>
      <c r="K29" s="9" t="s">
        <v>88</v>
      </c>
      <c r="L29" s="9" t="s">
        <v>89</v>
      </c>
      <c r="M29" s="9" t="s">
        <v>90</v>
      </c>
      <c r="N29" s="22"/>
      <c r="O29" s="22"/>
      <c r="P29" s="22"/>
      <c r="Q29" s="22"/>
      <c r="R29" s="22"/>
      <c r="S29" s="22"/>
    </row>
    <row r="30">
      <c r="A30" s="34" t="str">
        <f>Caravana!A32</f>
        <v/>
      </c>
      <c r="B30" s="21" t="str">
        <f>IFERROR(VLOOKUP($A30,Carros!$1:$34, 19, FALSE),"")</f>
        <v/>
      </c>
      <c r="C30" s="21">
        <f>'Ocupación Carro-Viajeros'!B30</f>
        <v>0</v>
      </c>
      <c r="D30" s="21">
        <f>'Consumo Carro-Viajeros'!B30</f>
        <v>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>
      <c r="A31" s="34" t="str">
        <f>Caravana!A33</f>
        <v/>
      </c>
      <c r="B31" s="21" t="str">
        <f>IFERROR(VLOOKUP($A31,Carros!$1:$34, 19, FALSE),"")</f>
        <v/>
      </c>
      <c r="C31" s="21">
        <f>'Ocupación Carro-Viajeros'!B31</f>
        <v>0</v>
      </c>
      <c r="D31" s="21">
        <f>'Consumo Carro-Viajeros'!B31</f>
        <v>0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>
      <c r="A32" s="34" t="str">
        <f>Caravana!A34</f>
        <v/>
      </c>
      <c r="B32" s="21" t="str">
        <f>IFERROR(VLOOKUP($A32,Carros!$1:$34, 19, FALSE),"")</f>
        <v/>
      </c>
      <c r="C32" s="21">
        <f>'Ocupación Carro-Viajeros'!B32</f>
        <v>0</v>
      </c>
      <c r="D32" s="21">
        <f>'Consumo Carro-Viajeros'!B32</f>
        <v>0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</sheetData>
  <conditionalFormatting sqref="E2:S32">
    <cfRule type="expression" dxfId="0" priority="1">
      <formula>AND(E2&lt;&gt;"", COUNTIF($E$2:$S$32, E2) &gt; 1)</formula>
    </cfRule>
  </conditionalFormatting>
  <dataValidations>
    <dataValidation type="list" allowBlank="1" showErrorMessage="1" sqref="E2:S32">
      <formula1>Viajeros!$A$3:$A$102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5.75"/>
    <col customWidth="1" min="3" max="3" width="16.13"/>
    <col customWidth="1" min="4" max="5" width="31.13"/>
  </cols>
  <sheetData>
    <row r="1">
      <c r="A1" s="32" t="s">
        <v>7</v>
      </c>
      <c r="B1" s="32" t="s">
        <v>234</v>
      </c>
      <c r="C1" s="32" t="s">
        <v>235</v>
      </c>
      <c r="D1" s="33">
        <v>1.0</v>
      </c>
      <c r="E1" s="33">
        <f t="shared" ref="E1:AG1" si="1">D1+1</f>
        <v>2</v>
      </c>
      <c r="F1" s="33">
        <f t="shared" si="1"/>
        <v>3</v>
      </c>
      <c r="G1" s="33">
        <f t="shared" si="1"/>
        <v>4</v>
      </c>
      <c r="H1" s="33">
        <f t="shared" si="1"/>
        <v>5</v>
      </c>
      <c r="I1" s="33">
        <f t="shared" si="1"/>
        <v>6</v>
      </c>
      <c r="J1" s="33">
        <f t="shared" si="1"/>
        <v>7</v>
      </c>
      <c r="K1" s="33">
        <f t="shared" si="1"/>
        <v>8</v>
      </c>
      <c r="L1" s="33">
        <f t="shared" si="1"/>
        <v>9</v>
      </c>
      <c r="M1" s="33">
        <f t="shared" si="1"/>
        <v>10</v>
      </c>
      <c r="N1" s="33">
        <f t="shared" si="1"/>
        <v>11</v>
      </c>
      <c r="O1" s="33">
        <f t="shared" si="1"/>
        <v>12</v>
      </c>
      <c r="P1" s="33">
        <f t="shared" si="1"/>
        <v>13</v>
      </c>
      <c r="Q1" s="33">
        <f t="shared" si="1"/>
        <v>14</v>
      </c>
      <c r="R1" s="33">
        <f t="shared" si="1"/>
        <v>15</v>
      </c>
      <c r="S1" s="33">
        <f t="shared" si="1"/>
        <v>16</v>
      </c>
      <c r="T1" s="33">
        <f t="shared" si="1"/>
        <v>17</v>
      </c>
      <c r="U1" s="33">
        <f t="shared" si="1"/>
        <v>18</v>
      </c>
      <c r="V1" s="33">
        <f t="shared" si="1"/>
        <v>19</v>
      </c>
      <c r="W1" s="33">
        <f t="shared" si="1"/>
        <v>20</v>
      </c>
      <c r="X1" s="33">
        <f t="shared" si="1"/>
        <v>21</v>
      </c>
      <c r="Y1" s="33">
        <f t="shared" si="1"/>
        <v>22</v>
      </c>
      <c r="Z1" s="33">
        <f t="shared" si="1"/>
        <v>23</v>
      </c>
      <c r="AA1" s="33">
        <f t="shared" si="1"/>
        <v>24</v>
      </c>
      <c r="AB1" s="33">
        <f t="shared" si="1"/>
        <v>25</v>
      </c>
      <c r="AC1" s="33">
        <f t="shared" si="1"/>
        <v>26</v>
      </c>
      <c r="AD1" s="33">
        <f t="shared" si="1"/>
        <v>27</v>
      </c>
      <c r="AE1" s="33">
        <f t="shared" si="1"/>
        <v>28</v>
      </c>
      <c r="AF1" s="33">
        <f t="shared" si="1"/>
        <v>29</v>
      </c>
      <c r="AG1" s="33">
        <f t="shared" si="1"/>
        <v>30</v>
      </c>
    </row>
    <row r="2">
      <c r="A2" s="34" t="str">
        <f>Caravana!A4</f>
        <v>Viajeros 1</v>
      </c>
      <c r="B2" s="21">
        <f>IFERROR(VLOOKUP($A2,Carros!$1:$34, 22, FALSE),"")</f>
        <v>5</v>
      </c>
      <c r="C2" s="21">
        <f>'Ocupación Carro-Mercancía'!B2</f>
        <v>4</v>
      </c>
      <c r="D2" s="9" t="s">
        <v>236</v>
      </c>
      <c r="E2" s="9" t="s">
        <v>237</v>
      </c>
      <c r="F2" s="9" t="s">
        <v>238</v>
      </c>
      <c r="G2" s="9" t="s">
        <v>239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>
      <c r="A3" s="34" t="str">
        <f>Caravana!A5</f>
        <v>Viajeros 2</v>
      </c>
      <c r="B3" s="21">
        <f>IFERROR(VLOOKUP($A3,Carros!$1:$34, 22, FALSE),"")</f>
        <v>5</v>
      </c>
      <c r="C3" s="21">
        <f>'Ocupación Carro-Mercancía'!B3</f>
        <v>3</v>
      </c>
      <c r="D3" s="9" t="s">
        <v>236</v>
      </c>
      <c r="E3" s="9" t="s">
        <v>237</v>
      </c>
      <c r="F3" s="9" t="s">
        <v>239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</row>
    <row r="4">
      <c r="A4" s="34" t="str">
        <f>Caravana!A6</f>
        <v>Viajeros 3</v>
      </c>
      <c r="B4" s="21">
        <f>IFERROR(VLOOKUP($A4,Carros!$1:$34, 22, FALSE),"")</f>
        <v>5</v>
      </c>
      <c r="C4" s="21">
        <f>'Ocupación Carro-Mercancía'!B4</f>
        <v>3</v>
      </c>
      <c r="D4" s="9" t="s">
        <v>236</v>
      </c>
      <c r="E4" s="9" t="s">
        <v>237</v>
      </c>
      <c r="F4" s="9" t="s">
        <v>239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>
      <c r="A5" s="34" t="str">
        <f>Caravana!A7</f>
        <v>Viajeros 4</v>
      </c>
      <c r="B5" s="21">
        <f>IFERROR(VLOOKUP($A5,Carros!$1:$34, 22, FALSE),"")</f>
        <v>5</v>
      </c>
      <c r="C5" s="21">
        <f>'Ocupación Carro-Mercancía'!B5</f>
        <v>4</v>
      </c>
      <c r="D5" s="9" t="s">
        <v>236</v>
      </c>
      <c r="E5" s="9" t="s">
        <v>240</v>
      </c>
      <c r="F5" s="9" t="s">
        <v>239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>
      <c r="A6" s="34" t="str">
        <f>Caravana!A8</f>
        <v>Viajeros 5</v>
      </c>
      <c r="B6" s="21">
        <f>IFERROR(VLOOKUP($A6,Carros!$1:$34, 22, FALSE),"")</f>
        <v>5</v>
      </c>
      <c r="C6" s="21">
        <f>'Ocupación Carro-Mercancía'!B6</f>
        <v>4</v>
      </c>
      <c r="D6" s="9" t="s">
        <v>236</v>
      </c>
      <c r="E6" s="9" t="s">
        <v>241</v>
      </c>
      <c r="F6" s="9" t="s">
        <v>239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>
      <c r="A7" s="34" t="str">
        <f>Caravana!A9</f>
        <v>Prisioneros</v>
      </c>
      <c r="B7" s="21">
        <f>IFERROR(VLOOKUP($A7,Carros!$1:$34, 22, FALSE),"")</f>
        <v>2</v>
      </c>
      <c r="C7" s="21">
        <f>'Ocupación Carro-Mercancía'!B7</f>
        <v>0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>
      <c r="A8" s="34" t="str">
        <f>Caravana!A10</f>
        <v>Zoo</v>
      </c>
      <c r="B8" s="21">
        <f>IFERROR(VLOOKUP($A8,Carros!$1:$34, 22, FALSE),"")</f>
        <v>2</v>
      </c>
      <c r="C8" s="21">
        <f>'Ocupación Carro-Mercancía'!B8</f>
        <v>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>
      <c r="A9" s="34" t="str">
        <f>Caravana!A11</f>
        <v>Familias Kalsgard</v>
      </c>
      <c r="B9" s="21">
        <f>IFERROR(VLOOKUP($A9,Carros!$1:$34, 22, FALSE),"")</f>
        <v>5</v>
      </c>
      <c r="C9" s="21">
        <f>'Ocupación Carro-Mercancía'!B9</f>
        <v>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>
      <c r="A10" s="34" t="str">
        <f>Caravana!A12</f>
        <v>Mercancías Hierro</v>
      </c>
      <c r="B10" s="21">
        <f>IFERROR(VLOOKUP($A10,Carros!$1:$34, 22, FALSE),"")</f>
        <v>13</v>
      </c>
      <c r="C10" s="21">
        <f>'Ocupación Carro-Mercancía'!B10</f>
        <v>12</v>
      </c>
      <c r="D10" s="9" t="s">
        <v>242</v>
      </c>
      <c r="E10" s="9" t="s">
        <v>242</v>
      </c>
      <c r="F10" s="9" t="s">
        <v>242</v>
      </c>
      <c r="G10" s="9" t="s">
        <v>242</v>
      </c>
      <c r="H10" s="9" t="s">
        <v>242</v>
      </c>
      <c r="I10" s="9" t="s">
        <v>242</v>
      </c>
      <c r="J10" s="9" t="s">
        <v>242</v>
      </c>
      <c r="K10" s="9" t="s">
        <v>242</v>
      </c>
      <c r="L10" s="9" t="s">
        <v>242</v>
      </c>
      <c r="M10" s="9" t="s">
        <v>242</v>
      </c>
      <c r="N10" s="9"/>
      <c r="O10" s="9" t="s">
        <v>236</v>
      </c>
      <c r="P10" s="9" t="s">
        <v>236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>
      <c r="A11" s="34" t="str">
        <f>Caravana!A13</f>
        <v>Mercancías General</v>
      </c>
      <c r="B11" s="21">
        <f>IFERROR(VLOOKUP($A11,Carros!$1:$34, 22, FALSE),"")</f>
        <v>13</v>
      </c>
      <c r="C11" s="21">
        <f>'Ocupación Carro-Mercancía'!B11</f>
        <v>13</v>
      </c>
      <c r="D11" s="9" t="s">
        <v>243</v>
      </c>
      <c r="E11" s="9" t="s">
        <v>243</v>
      </c>
      <c r="F11" s="9" t="s">
        <v>243</v>
      </c>
      <c r="G11" s="9" t="s">
        <v>243</v>
      </c>
      <c r="H11" s="9" t="s">
        <v>243</v>
      </c>
      <c r="I11" s="9" t="s">
        <v>243</v>
      </c>
      <c r="J11" s="9" t="s">
        <v>243</v>
      </c>
      <c r="K11" s="9" t="s">
        <v>243</v>
      </c>
      <c r="L11" s="9" t="s">
        <v>243</v>
      </c>
      <c r="M11" s="9" t="s">
        <v>243</v>
      </c>
      <c r="N11" s="9" t="s">
        <v>243</v>
      </c>
      <c r="O11" s="9" t="s">
        <v>243</v>
      </c>
      <c r="P11" s="9" t="s">
        <v>243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>
      <c r="A12" s="34" t="str">
        <f>Caravana!A14</f>
        <v>Mercancías Punta Arena</v>
      </c>
      <c r="B12" s="21">
        <f>IFERROR(VLOOKUP($A12,Carros!$1:$34, 22, FALSE),"")</f>
        <v>13</v>
      </c>
      <c r="C12" s="21">
        <f>'Ocupación Carro-Mercancía'!B12</f>
        <v>13</v>
      </c>
      <c r="D12" s="9" t="s">
        <v>244</v>
      </c>
      <c r="E12" s="9" t="s">
        <v>244</v>
      </c>
      <c r="F12" s="9" t="s">
        <v>244</v>
      </c>
      <c r="G12" s="9" t="s">
        <v>244</v>
      </c>
      <c r="H12" s="9" t="s">
        <v>244</v>
      </c>
      <c r="I12" s="9" t="s">
        <v>244</v>
      </c>
      <c r="J12" s="9" t="s">
        <v>244</v>
      </c>
      <c r="K12" s="9" t="s">
        <v>244</v>
      </c>
      <c r="L12" s="9" t="s">
        <v>244</v>
      </c>
      <c r="M12" s="9" t="s">
        <v>244</v>
      </c>
      <c r="N12" s="9" t="s">
        <v>244</v>
      </c>
      <c r="O12" s="9" t="s">
        <v>236</v>
      </c>
      <c r="P12" s="9" t="s">
        <v>236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>
      <c r="A13" s="34" t="str">
        <f>Caravana!A15</f>
        <v>Mercancías Kalsgard</v>
      </c>
      <c r="B13" s="21">
        <f>IFERROR(VLOOKUP($A13,Carros!$1:$34, 22, FALSE),"")</f>
        <v>26</v>
      </c>
      <c r="C13" s="21">
        <f>'Ocupación Carro-Mercancía'!B13</f>
        <v>26</v>
      </c>
      <c r="D13" s="9" t="s">
        <v>245</v>
      </c>
      <c r="E13" s="9" t="s">
        <v>245</v>
      </c>
      <c r="F13" s="9" t="s">
        <v>245</v>
      </c>
      <c r="G13" s="9" t="s">
        <v>245</v>
      </c>
      <c r="H13" s="9" t="s">
        <v>245</v>
      </c>
      <c r="I13" s="9" t="s">
        <v>245</v>
      </c>
      <c r="J13" s="9" t="s">
        <v>245</v>
      </c>
      <c r="K13" s="9" t="s">
        <v>245</v>
      </c>
      <c r="L13" s="9" t="s">
        <v>245</v>
      </c>
      <c r="M13" s="9" t="s">
        <v>245</v>
      </c>
      <c r="N13" s="9" t="s">
        <v>245</v>
      </c>
      <c r="O13" s="9" t="s">
        <v>245</v>
      </c>
      <c r="P13" s="9" t="s">
        <v>245</v>
      </c>
      <c r="Q13" s="9" t="s">
        <v>245</v>
      </c>
      <c r="R13" s="9" t="s">
        <v>245</v>
      </c>
      <c r="S13" s="9" t="s">
        <v>245</v>
      </c>
      <c r="T13" s="9" t="s">
        <v>245</v>
      </c>
      <c r="U13" s="9" t="s">
        <v>245</v>
      </c>
      <c r="V13" s="9" t="s">
        <v>245</v>
      </c>
      <c r="W13" s="9" t="s">
        <v>245</v>
      </c>
      <c r="X13" s="9" t="s">
        <v>245</v>
      </c>
      <c r="Y13" s="9" t="s">
        <v>245</v>
      </c>
      <c r="Z13" s="9" t="s">
        <v>245</v>
      </c>
      <c r="AA13" s="9" t="s">
        <v>245</v>
      </c>
      <c r="AB13" s="9" t="s">
        <v>245</v>
      </c>
      <c r="AC13" s="9" t="s">
        <v>245</v>
      </c>
      <c r="AD13" s="22"/>
      <c r="AE13" s="22"/>
      <c r="AF13" s="22"/>
      <c r="AG13" s="22"/>
    </row>
    <row r="14">
      <c r="A14" s="34" t="str">
        <f>Caravana!A16</f>
        <v>Carbón</v>
      </c>
      <c r="B14" s="21">
        <f>IFERROR(VLOOKUP($A14,Carros!$1:$34, 22, FALSE),"")</f>
        <v>26</v>
      </c>
      <c r="C14" s="21">
        <f>'Ocupación Carro-Mercancía'!B14</f>
        <v>26</v>
      </c>
      <c r="D14" s="9" t="s">
        <v>246</v>
      </c>
      <c r="E14" s="9" t="s">
        <v>246</v>
      </c>
      <c r="F14" s="9" t="s">
        <v>246</v>
      </c>
      <c r="G14" s="9" t="s">
        <v>246</v>
      </c>
      <c r="H14" s="9" t="s">
        <v>246</v>
      </c>
      <c r="I14" s="9" t="s">
        <v>246</v>
      </c>
      <c r="J14" s="9" t="s">
        <v>246</v>
      </c>
      <c r="K14" s="9" t="s">
        <v>246</v>
      </c>
      <c r="L14" s="9" t="s">
        <v>246</v>
      </c>
      <c r="M14" s="9" t="s">
        <v>246</v>
      </c>
      <c r="N14" s="9" t="s">
        <v>246</v>
      </c>
      <c r="O14" s="9" t="s">
        <v>246</v>
      </c>
      <c r="P14" s="9" t="s">
        <v>246</v>
      </c>
      <c r="Q14" s="9" t="s">
        <v>246</v>
      </c>
      <c r="R14" s="9" t="s">
        <v>246</v>
      </c>
      <c r="S14" s="9" t="s">
        <v>246</v>
      </c>
      <c r="T14" s="9" t="s">
        <v>246</v>
      </c>
      <c r="U14" s="9" t="s">
        <v>246</v>
      </c>
      <c r="V14" s="9" t="s">
        <v>246</v>
      </c>
      <c r="W14" s="9" t="s">
        <v>246</v>
      </c>
      <c r="X14" s="9" t="s">
        <v>246</v>
      </c>
      <c r="Y14" s="9" t="s">
        <v>246</v>
      </c>
      <c r="Z14" s="9" t="s">
        <v>246</v>
      </c>
      <c r="AA14" s="9" t="s">
        <v>246</v>
      </c>
      <c r="AB14" s="9" t="s">
        <v>246</v>
      </c>
      <c r="AC14" s="9" t="s">
        <v>246</v>
      </c>
      <c r="AD14" s="22"/>
      <c r="AE14" s="22"/>
      <c r="AF14" s="22"/>
      <c r="AG14" s="22"/>
    </row>
    <row r="15">
      <c r="A15" s="34" t="str">
        <f>Caravana!A17</f>
        <v>Queso</v>
      </c>
      <c r="B15" s="21">
        <f>IFERROR(VLOOKUP($A15,Carros!$1:$34, 22, FALSE),"")</f>
        <v>26</v>
      </c>
      <c r="C15" s="21">
        <f>'Ocupación Carro-Mercancía'!B15</f>
        <v>20</v>
      </c>
      <c r="D15" s="9" t="s">
        <v>202</v>
      </c>
      <c r="E15" s="9" t="s">
        <v>202</v>
      </c>
      <c r="F15" s="9" t="s">
        <v>202</v>
      </c>
      <c r="G15" s="9" t="s">
        <v>202</v>
      </c>
      <c r="H15" s="9" t="s">
        <v>202</v>
      </c>
      <c r="I15" s="9" t="s">
        <v>202</v>
      </c>
      <c r="J15" s="9" t="s">
        <v>202</v>
      </c>
      <c r="K15" s="9" t="s">
        <v>202</v>
      </c>
      <c r="L15" s="9" t="s">
        <v>202</v>
      </c>
      <c r="M15" s="9" t="s">
        <v>202</v>
      </c>
      <c r="N15" s="9" t="s">
        <v>202</v>
      </c>
      <c r="O15" s="9" t="s">
        <v>202</v>
      </c>
      <c r="P15" s="9" t="s">
        <v>202</v>
      </c>
      <c r="Q15" s="9" t="s">
        <v>202</v>
      </c>
      <c r="R15" s="9" t="s">
        <v>202</v>
      </c>
      <c r="S15" s="9" t="s">
        <v>202</v>
      </c>
      <c r="T15" s="9" t="s">
        <v>202</v>
      </c>
      <c r="U15" s="9" t="s">
        <v>202</v>
      </c>
      <c r="V15" s="9" t="s">
        <v>202</v>
      </c>
      <c r="W15" s="9" t="s">
        <v>202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>
      <c r="A16" s="34" t="str">
        <f>Caravana!A18</f>
        <v>Suministros 1</v>
      </c>
      <c r="B16" s="21">
        <f>IFERROR(VLOOKUP($A16,Carros!$1:$34, 22, FALSE),"")</f>
        <v>26</v>
      </c>
      <c r="C16" s="21">
        <f>'Ocupación Carro-Mercancía'!B16</f>
        <v>4</v>
      </c>
      <c r="D16" s="9" t="s">
        <v>247</v>
      </c>
      <c r="E16" s="9" t="s">
        <v>247</v>
      </c>
      <c r="F16" s="9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9" t="s">
        <v>247</v>
      </c>
      <c r="AB16" s="9" t="s">
        <v>247</v>
      </c>
      <c r="AC16" s="22"/>
      <c r="AD16" s="22"/>
      <c r="AE16" s="22"/>
      <c r="AF16" s="22"/>
      <c r="AG16" s="22"/>
    </row>
    <row r="17">
      <c r="A17" s="34" t="str">
        <f>Caravana!A19</f>
        <v>Suministros 2</v>
      </c>
      <c r="B17" s="21">
        <f>IFERROR(VLOOKUP($A17,Carros!$1:$34, 22, FALSE),"")</f>
        <v>26</v>
      </c>
      <c r="C17" s="21">
        <f>'Ocupación Carro-Mercancía'!B17</f>
        <v>4</v>
      </c>
      <c r="D17" s="9" t="s">
        <v>247</v>
      </c>
      <c r="E17" s="9" t="s">
        <v>247</v>
      </c>
      <c r="F17" s="9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9" t="s">
        <v>247</v>
      </c>
      <c r="AB17" s="9" t="s">
        <v>247</v>
      </c>
      <c r="AC17" s="22"/>
      <c r="AD17" s="22"/>
      <c r="AE17" s="22"/>
      <c r="AF17" s="22"/>
      <c r="AG17" s="22"/>
    </row>
    <row r="18">
      <c r="A18" s="34" t="str">
        <f>Caravana!A20</f>
        <v>Koya</v>
      </c>
      <c r="B18" s="21">
        <f>IFERROR(VLOOKUP($A18,Carros!$1:$34, 22, FALSE),"")</f>
        <v>5</v>
      </c>
      <c r="C18" s="21">
        <f>'Ocupación Carro-Mercancía'!B18</f>
        <v>2</v>
      </c>
      <c r="D18" s="9" t="s">
        <v>248</v>
      </c>
      <c r="E18" s="9" t="s">
        <v>249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>
      <c r="A19" s="34" t="str">
        <f>Caravana!A21</f>
        <v>Taller</v>
      </c>
      <c r="B19" s="21">
        <f>IFERROR(VLOOKUP($A19,Carros!$1:$34, 22, FALSE),"")</f>
        <v>5</v>
      </c>
      <c r="C19" s="21">
        <f>'Ocupación Carro-Mercancía'!B19</f>
        <v>5</v>
      </c>
      <c r="D19" s="9" t="s">
        <v>250</v>
      </c>
      <c r="E19" s="9" t="s">
        <v>250</v>
      </c>
      <c r="F19" s="9" t="s">
        <v>250</v>
      </c>
      <c r="G19" s="9" t="s">
        <v>250</v>
      </c>
      <c r="H19" s="9" t="s">
        <v>251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>
      <c r="A20" s="34" t="str">
        <f>Caravana!A22</f>
        <v>Escuela</v>
      </c>
      <c r="B20" s="21">
        <f>IFERROR(VLOOKUP($A20,Carros!$1:$34, 22, FALSE),"")</f>
        <v>5</v>
      </c>
      <c r="C20" s="21">
        <f>'Ocupación Carro-Mercancía'!B20</f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>
      <c r="A21" s="34" t="str">
        <f>Caravana!A23</f>
        <v>Huerto Hagorsson</v>
      </c>
      <c r="B21" s="21">
        <f>IFERROR(VLOOKUP($A21,Carros!$1:$34, 22, FALSE),"")</f>
        <v>1</v>
      </c>
      <c r="C21" s="21">
        <f>'Ocupación Carro-Mercancía'!B21</f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>
      <c r="A22" s="34" t="str">
        <f>Caravana!A24</f>
        <v>Huerto 1</v>
      </c>
      <c r="B22" s="21">
        <f>IFERROR(VLOOKUP($A22,Carros!$1:$34, 22, FALSE),"")</f>
        <v>1</v>
      </c>
      <c r="C22" s="21">
        <f>'Ocupación Carro-Mercancía'!B22</f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</row>
    <row r="23">
      <c r="A23" s="34" t="str">
        <f>Caravana!A25</f>
        <v>Huerto 2</v>
      </c>
      <c r="B23" s="21">
        <f>IFERROR(VLOOKUP($A23,Carros!$1:$34, 22, FALSE),"")</f>
        <v>1</v>
      </c>
      <c r="C23" s="21">
        <f>'Ocupación Carro-Mercancía'!B23</f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>
      <c r="A24" s="34" t="str">
        <f>Caravana!A26</f>
        <v>Hospital</v>
      </c>
      <c r="B24" s="21">
        <f>IFERROR(VLOOKUP($A24,Carros!$1:$34, 22, FALSE),"")</f>
        <v>1</v>
      </c>
      <c r="C24" s="21">
        <f>'Ocupación Carro-Mercancía'!B24</f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>
      <c r="A25" s="34" t="str">
        <f>Caravana!A27</f>
        <v>Bar sin límites</v>
      </c>
      <c r="B25" s="21">
        <f>IFERROR(VLOOKUP($A25,Carros!$1:$34, 22, FALSE),"")</f>
        <v>6</v>
      </c>
      <c r="C25" s="21">
        <f>'Ocupación Carro-Mercancía'!B25</f>
        <v>3</v>
      </c>
      <c r="D25" s="9" t="s">
        <v>252</v>
      </c>
      <c r="E25" s="9" t="s">
        <v>252</v>
      </c>
      <c r="F25" s="9" t="s">
        <v>252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>
      <c r="A26" s="34" t="str">
        <f>Caravana!A28</f>
        <v>Cómodo 1</v>
      </c>
      <c r="B26" s="21">
        <f>IFERROR(VLOOKUP($A26,Carros!$1:$34, 22, FALSE),"")</f>
        <v>5</v>
      </c>
      <c r="C26" s="21">
        <f>'Ocupación Carro-Mercancía'!B26</f>
        <v>2</v>
      </c>
      <c r="D26" s="9" t="s">
        <v>253</v>
      </c>
      <c r="E26" s="9" t="s">
        <v>239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>
      <c r="A27" s="34" t="str">
        <f>Caravana!A29</f>
        <v>Cómodo 2</v>
      </c>
      <c r="B27" s="21">
        <f>IFERROR(VLOOKUP($A27,Carros!$1:$34, 22, FALSE),"")</f>
        <v>5</v>
      </c>
      <c r="C27" s="21">
        <f>'Ocupación Carro-Mercancía'!B27</f>
        <v>2.5</v>
      </c>
      <c r="D27" s="9" t="s">
        <v>253</v>
      </c>
      <c r="E27" s="9" t="s">
        <v>254</v>
      </c>
      <c r="F27" s="9" t="s">
        <v>239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>
      <c r="A28" s="34" t="str">
        <f>Caravana!A30</f>
        <v>Real</v>
      </c>
      <c r="B28" s="21">
        <f>IFERROR(VLOOKUP($A28,Carros!$1:$34, 22, FALSE),"")</f>
        <v>2</v>
      </c>
      <c r="C28" s="21">
        <f>'Ocupación Carro-Mercancía'!B28</f>
        <v>1</v>
      </c>
      <c r="D28" s="9" t="s">
        <v>255</v>
      </c>
      <c r="E28" s="9" t="s">
        <v>256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>
      <c r="A29" s="34" t="str">
        <f>Caravana!A31</f>
        <v>Viajeros grande</v>
      </c>
      <c r="B29" s="21">
        <f>IFERROR(VLOOKUP($A29,Carros!$1:$34, 22, FALSE),"")</f>
        <v>5</v>
      </c>
      <c r="C29" s="21">
        <f>'Ocupación Carro-Mercancía'!B29</f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>
      <c r="A30" s="34" t="str">
        <f>Caravana!A32</f>
        <v/>
      </c>
      <c r="B30" s="21" t="str">
        <f>IFERROR(VLOOKUP($A30,Carros!$1:$34, 22, FALSE),"")</f>
        <v/>
      </c>
      <c r="C30" s="21">
        <f>'Ocupación Carro-Mercancía'!B30</f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>
      <c r="A31" s="34" t="str">
        <f>Caravana!A33</f>
        <v/>
      </c>
      <c r="B31" s="21" t="str">
        <f>IFERROR(VLOOKUP($A31,Carros!$1:$34, 22, FALSE),"")</f>
        <v/>
      </c>
      <c r="C31" s="21">
        <f>'Ocupación Carro-Mercancía'!B31</f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>
      <c r="A32" s="34" t="str">
        <f>Caravana!A34</f>
        <v/>
      </c>
      <c r="B32" s="21" t="str">
        <f>IFERROR(VLOOKUP($A32,Carros!$1:$34, 22, FALSE),"")</f>
        <v/>
      </c>
      <c r="C32" s="21">
        <f>'Ocupación Carro-Mercancía'!B32</f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</sheetData>
  <dataValidations>
    <dataValidation type="list" allowBlank="1" showErrorMessage="1" sqref="D2:AG32">
      <formula1>'Lista Mercancías'!$A$2:$A$100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6.13"/>
    <col customWidth="1" min="4" max="4" width="9.0"/>
    <col customWidth="1" min="5" max="6" width="16.13"/>
  </cols>
  <sheetData>
    <row r="1">
      <c r="A1" s="32" t="s">
        <v>7</v>
      </c>
      <c r="B1" s="32" t="s">
        <v>257</v>
      </c>
      <c r="C1" s="32" t="s">
        <v>258</v>
      </c>
      <c r="D1" s="32" t="s">
        <v>259</v>
      </c>
      <c r="E1" s="32" t="s">
        <v>260</v>
      </c>
      <c r="F1" s="32" t="s">
        <v>261</v>
      </c>
      <c r="G1" s="33">
        <v>1.0</v>
      </c>
      <c r="H1" s="33">
        <f t="shared" ref="H1:N1" si="1">G1+1</f>
        <v>2</v>
      </c>
      <c r="I1" s="33">
        <f t="shared" si="1"/>
        <v>3</v>
      </c>
      <c r="J1" s="33">
        <f t="shared" si="1"/>
        <v>4</v>
      </c>
      <c r="K1" s="33">
        <f t="shared" si="1"/>
        <v>5</v>
      </c>
      <c r="L1" s="33">
        <f t="shared" si="1"/>
        <v>6</v>
      </c>
      <c r="M1" s="33">
        <f t="shared" si="1"/>
        <v>7</v>
      </c>
      <c r="N1" s="33">
        <f t="shared" si="1"/>
        <v>8</v>
      </c>
    </row>
    <row r="2">
      <c r="A2" s="34" t="str">
        <f>Caravana!A4</f>
        <v>Viajeros 1</v>
      </c>
      <c r="B2" s="21">
        <f>IFERROR(VLOOKUP(A2,Carros!$A$4:$O$34,10,FALSE),"")</f>
        <v>10</v>
      </c>
      <c r="C2" s="21">
        <f>'Fuerza Carro-Tiro'!B2</f>
        <v>28</v>
      </c>
      <c r="D2" s="21" t="str">
        <f t="shared" ref="D2:D32" si="2">IF(C2&gt;=B2*2,"SUPERA",IF(C2&gt;=B2*1.5,"Excede",IF(C2&gt;=B2,"Supera","Insuficiente")))</f>
        <v>SUPERA</v>
      </c>
      <c r="E2" s="21">
        <f>IFERROR(VLOOKUP(A2,Carros!$A$4:$O$34,13,FALSE),"")</f>
        <v>2</v>
      </c>
      <c r="F2" s="21">
        <f>'Ocupación Carro-Tiro'!B2</f>
        <v>2</v>
      </c>
      <c r="G2" s="9" t="s">
        <v>166</v>
      </c>
      <c r="H2" s="9" t="s">
        <v>166</v>
      </c>
      <c r="I2" s="22"/>
      <c r="J2" s="22"/>
      <c r="K2" s="22"/>
      <c r="L2" s="22"/>
      <c r="M2" s="22"/>
      <c r="N2" s="22"/>
    </row>
    <row r="3">
      <c r="A3" s="34" t="str">
        <f>Caravana!A5</f>
        <v>Viajeros 2</v>
      </c>
      <c r="B3" s="21">
        <f>IFERROR(VLOOKUP(A3,Carros!$A$4:$O$34,10,FALSE),"")</f>
        <v>10</v>
      </c>
      <c r="C3" s="21">
        <f>'Fuerza Carro-Tiro'!B3</f>
        <v>28</v>
      </c>
      <c r="D3" s="21" t="str">
        <f t="shared" si="2"/>
        <v>SUPERA</v>
      </c>
      <c r="E3" s="21">
        <f>IFERROR(VLOOKUP(A3,Carros!$A$4:$O$34,13,FALSE),"")</f>
        <v>2</v>
      </c>
      <c r="F3" s="21">
        <f>'Ocupación Carro-Tiro'!B3</f>
        <v>2</v>
      </c>
      <c r="G3" s="9" t="s">
        <v>166</v>
      </c>
      <c r="H3" s="9" t="s">
        <v>166</v>
      </c>
      <c r="I3" s="22"/>
      <c r="J3" s="22"/>
      <c r="K3" s="22"/>
      <c r="L3" s="22"/>
      <c r="M3" s="22"/>
      <c r="N3" s="22"/>
    </row>
    <row r="4">
      <c r="A4" s="34" t="str">
        <f>Caravana!A6</f>
        <v>Viajeros 3</v>
      </c>
      <c r="B4" s="21">
        <f>IFERROR(VLOOKUP(A4,Carros!$A$4:$O$34,10,FALSE),"")</f>
        <v>10</v>
      </c>
      <c r="C4" s="21">
        <f>'Fuerza Carro-Tiro'!B4</f>
        <v>28</v>
      </c>
      <c r="D4" s="21" t="str">
        <f t="shared" si="2"/>
        <v>SUPERA</v>
      </c>
      <c r="E4" s="21">
        <f>IFERROR(VLOOKUP(A4,Carros!$A$4:$O$34,13,FALSE),"")</f>
        <v>2</v>
      </c>
      <c r="F4" s="21">
        <f>'Ocupación Carro-Tiro'!B4</f>
        <v>2</v>
      </c>
      <c r="G4" s="9" t="s">
        <v>166</v>
      </c>
      <c r="H4" s="9" t="s">
        <v>166</v>
      </c>
      <c r="I4" s="22"/>
      <c r="J4" s="22"/>
      <c r="K4" s="22"/>
      <c r="L4" s="22"/>
      <c r="M4" s="22"/>
      <c r="N4" s="22"/>
    </row>
    <row r="5">
      <c r="A5" s="34" t="str">
        <f>Caravana!A7</f>
        <v>Viajeros 4</v>
      </c>
      <c r="B5" s="21">
        <f>IFERROR(VLOOKUP(A5,Carros!$A$4:$O$34,10,FALSE),"")</f>
        <v>10</v>
      </c>
      <c r="C5" s="21">
        <f>'Fuerza Carro-Tiro'!B5</f>
        <v>28</v>
      </c>
      <c r="D5" s="21" t="str">
        <f t="shared" si="2"/>
        <v>SUPERA</v>
      </c>
      <c r="E5" s="21">
        <f>IFERROR(VLOOKUP(A5,Carros!$A$4:$O$34,13,FALSE),"")</f>
        <v>2</v>
      </c>
      <c r="F5" s="21">
        <f>'Ocupación Carro-Tiro'!B5</f>
        <v>2</v>
      </c>
      <c r="G5" s="9" t="s">
        <v>166</v>
      </c>
      <c r="H5" s="9" t="s">
        <v>166</v>
      </c>
      <c r="I5" s="22"/>
      <c r="J5" s="22"/>
      <c r="K5" s="22"/>
      <c r="L5" s="22"/>
      <c r="M5" s="22"/>
      <c r="N5" s="22"/>
    </row>
    <row r="6">
      <c r="A6" s="34" t="str">
        <f>Caravana!A8</f>
        <v>Viajeros 5</v>
      </c>
      <c r="B6" s="21">
        <f>IFERROR(VLOOKUP(A6,Carros!$A$4:$O$34,10,FALSE),"")</f>
        <v>10</v>
      </c>
      <c r="C6" s="21">
        <f>'Fuerza Carro-Tiro'!B6</f>
        <v>28</v>
      </c>
      <c r="D6" s="21" t="str">
        <f t="shared" si="2"/>
        <v>SUPERA</v>
      </c>
      <c r="E6" s="21">
        <f>IFERROR(VLOOKUP(A6,Carros!$A$4:$O$34,13,FALSE),"")</f>
        <v>2</v>
      </c>
      <c r="F6" s="21">
        <f>'Ocupación Carro-Tiro'!B6</f>
        <v>2</v>
      </c>
      <c r="G6" s="9" t="s">
        <v>166</v>
      </c>
      <c r="H6" s="9" t="s">
        <v>166</v>
      </c>
      <c r="I6" s="22"/>
      <c r="J6" s="22"/>
      <c r="K6" s="22"/>
      <c r="L6" s="22"/>
      <c r="M6" s="22"/>
      <c r="N6" s="22"/>
    </row>
    <row r="7">
      <c r="A7" s="34" t="str">
        <f>Caravana!A9</f>
        <v>Prisioneros</v>
      </c>
      <c r="B7" s="21">
        <f>IFERROR(VLOOKUP(A7,Carros!$A$4:$O$34,10,FALSE),"")</f>
        <v>5</v>
      </c>
      <c r="C7" s="21">
        <f>'Fuerza Carro-Tiro'!B7</f>
        <v>14</v>
      </c>
      <c r="D7" s="21" t="str">
        <f t="shared" si="2"/>
        <v>SUPERA</v>
      </c>
      <c r="E7" s="21">
        <f>IFERROR(VLOOKUP(A7,Carros!$A$4:$O$34,13,FALSE),"")</f>
        <v>1</v>
      </c>
      <c r="F7" s="21">
        <f>'Ocupación Carro-Tiro'!B7</f>
        <v>1</v>
      </c>
      <c r="G7" s="9" t="s">
        <v>166</v>
      </c>
      <c r="H7" s="22"/>
      <c r="I7" s="22"/>
      <c r="J7" s="22"/>
      <c r="K7" s="22"/>
      <c r="L7" s="22"/>
      <c r="M7" s="22"/>
      <c r="N7" s="22"/>
    </row>
    <row r="8">
      <c r="A8" s="34" t="str">
        <f>Caravana!A10</f>
        <v>Zoo</v>
      </c>
      <c r="B8" s="21">
        <f>IFERROR(VLOOKUP(A8,Carros!$A$4:$O$34,10,FALSE),"")</f>
        <v>5</v>
      </c>
      <c r="C8" s="21">
        <f>'Fuerza Carro-Tiro'!B8</f>
        <v>14</v>
      </c>
      <c r="D8" s="21" t="str">
        <f t="shared" si="2"/>
        <v>SUPERA</v>
      </c>
      <c r="E8" s="21">
        <f>IFERROR(VLOOKUP(A8,Carros!$A$4:$O$34,13,FALSE),"")</f>
        <v>1</v>
      </c>
      <c r="F8" s="21">
        <f>'Ocupación Carro-Tiro'!B8</f>
        <v>1</v>
      </c>
      <c r="G8" s="9" t="s">
        <v>166</v>
      </c>
      <c r="H8" s="22"/>
      <c r="I8" s="22"/>
      <c r="J8" s="22"/>
      <c r="K8" s="22"/>
      <c r="L8" s="22"/>
      <c r="M8" s="22"/>
      <c r="N8" s="22"/>
    </row>
    <row r="9">
      <c r="A9" s="34" t="str">
        <f>Caravana!A11</f>
        <v>Familias Kalsgard</v>
      </c>
      <c r="B9" s="21">
        <f>IFERROR(VLOOKUP(A9,Carros!$A$4:$O$34,10,FALSE),"")</f>
        <v>10</v>
      </c>
      <c r="C9" s="21">
        <f>'Fuerza Carro-Tiro'!B9</f>
        <v>28</v>
      </c>
      <c r="D9" s="21" t="str">
        <f t="shared" si="2"/>
        <v>SUPERA</v>
      </c>
      <c r="E9" s="21">
        <f>IFERROR(VLOOKUP(A9,Carros!$A$4:$O$34,13,FALSE),"")</f>
        <v>2</v>
      </c>
      <c r="F9" s="21">
        <f>'Ocupación Carro-Tiro'!B9</f>
        <v>2</v>
      </c>
      <c r="G9" s="9" t="s">
        <v>166</v>
      </c>
      <c r="H9" s="9" t="s">
        <v>166</v>
      </c>
      <c r="I9" s="22"/>
      <c r="J9" s="22"/>
      <c r="K9" s="22"/>
      <c r="L9" s="22"/>
      <c r="M9" s="22"/>
      <c r="N9" s="22"/>
    </row>
    <row r="10">
      <c r="A10" s="34" t="str">
        <f>Caravana!A12</f>
        <v>Mercancías Hierro</v>
      </c>
      <c r="B10" s="21">
        <f>IFERROR(VLOOKUP(A10,Carros!$A$4:$O$34,10,FALSE),"")</f>
        <v>10</v>
      </c>
      <c r="C10" s="21">
        <f>'Fuerza Carro-Tiro'!B10</f>
        <v>28</v>
      </c>
      <c r="D10" s="21" t="str">
        <f t="shared" si="2"/>
        <v>SUPERA</v>
      </c>
      <c r="E10" s="21">
        <f>IFERROR(VLOOKUP(A10,Carros!$A$4:$O$34,13,FALSE),"")</f>
        <v>2</v>
      </c>
      <c r="F10" s="21">
        <f>'Ocupación Carro-Tiro'!B10</f>
        <v>2</v>
      </c>
      <c r="G10" s="9" t="s">
        <v>166</v>
      </c>
      <c r="H10" s="9" t="s">
        <v>166</v>
      </c>
      <c r="I10" s="22"/>
      <c r="J10" s="22"/>
      <c r="K10" s="22"/>
      <c r="L10" s="22"/>
      <c r="M10" s="22"/>
      <c r="N10" s="22"/>
    </row>
    <row r="11">
      <c r="A11" s="34" t="str">
        <f>Caravana!A13</f>
        <v>Mercancías General</v>
      </c>
      <c r="B11" s="21">
        <f>IFERROR(VLOOKUP(A11,Carros!$A$4:$O$34,10,FALSE),"")</f>
        <v>10</v>
      </c>
      <c r="C11" s="21">
        <f>'Fuerza Carro-Tiro'!B11</f>
        <v>28</v>
      </c>
      <c r="D11" s="21" t="str">
        <f t="shared" si="2"/>
        <v>SUPERA</v>
      </c>
      <c r="E11" s="21">
        <f>IFERROR(VLOOKUP(A11,Carros!$A$4:$O$34,13,FALSE),"")</f>
        <v>2</v>
      </c>
      <c r="F11" s="21">
        <f>'Ocupación Carro-Tiro'!B11</f>
        <v>2</v>
      </c>
      <c r="G11" s="9" t="s">
        <v>166</v>
      </c>
      <c r="H11" s="9" t="s">
        <v>166</v>
      </c>
      <c r="I11" s="22"/>
      <c r="J11" s="22"/>
      <c r="K11" s="22"/>
      <c r="L11" s="22"/>
      <c r="M11" s="22"/>
      <c r="N11" s="22"/>
    </row>
    <row r="12">
      <c r="A12" s="34" t="str">
        <f>Caravana!A14</f>
        <v>Mercancías Punta Arena</v>
      </c>
      <c r="B12" s="21">
        <f>IFERROR(VLOOKUP(A12,Carros!$A$4:$O$34,10,FALSE),"")</f>
        <v>10</v>
      </c>
      <c r="C12" s="21">
        <f>'Fuerza Carro-Tiro'!B12</f>
        <v>28</v>
      </c>
      <c r="D12" s="21" t="str">
        <f t="shared" si="2"/>
        <v>SUPERA</v>
      </c>
      <c r="E12" s="21">
        <f>IFERROR(VLOOKUP(A12,Carros!$A$4:$O$34,13,FALSE),"")</f>
        <v>2</v>
      </c>
      <c r="F12" s="21">
        <f>'Ocupación Carro-Tiro'!B12</f>
        <v>2</v>
      </c>
      <c r="G12" s="9" t="s">
        <v>166</v>
      </c>
      <c r="H12" s="9" t="s">
        <v>166</v>
      </c>
      <c r="I12" s="22"/>
      <c r="J12" s="22"/>
      <c r="K12" s="22"/>
      <c r="L12" s="22"/>
      <c r="M12" s="22"/>
      <c r="N12" s="22"/>
    </row>
    <row r="13">
      <c r="A13" s="34" t="str">
        <f>Caravana!A15</f>
        <v>Mercancías Kalsgard</v>
      </c>
      <c r="B13" s="21">
        <f>IFERROR(VLOOKUP(A13,Carros!$A$4:$O$34,10,FALSE),"")</f>
        <v>10</v>
      </c>
      <c r="C13" s="21">
        <f>'Fuerza Carro-Tiro'!B13</f>
        <v>28</v>
      </c>
      <c r="D13" s="21" t="str">
        <f t="shared" si="2"/>
        <v>SUPERA</v>
      </c>
      <c r="E13" s="21">
        <f>IFERROR(VLOOKUP(A13,Carros!$A$4:$O$34,13,FALSE),"")</f>
        <v>2</v>
      </c>
      <c r="F13" s="21">
        <f>'Ocupación Carro-Tiro'!B13</f>
        <v>2</v>
      </c>
      <c r="G13" s="9" t="s">
        <v>166</v>
      </c>
      <c r="H13" s="9" t="s">
        <v>166</v>
      </c>
      <c r="I13" s="22"/>
      <c r="J13" s="22"/>
      <c r="K13" s="22"/>
      <c r="L13" s="22"/>
      <c r="M13" s="22"/>
      <c r="N13" s="22"/>
    </row>
    <row r="14">
      <c r="A14" s="34" t="str">
        <f>Caravana!A16</f>
        <v>Carbón</v>
      </c>
      <c r="B14" s="21">
        <f>IFERROR(VLOOKUP(A14,Carros!$A$4:$O$34,10,FALSE),"")</f>
        <v>10</v>
      </c>
      <c r="C14" s="21">
        <f>'Fuerza Carro-Tiro'!B14</f>
        <v>28</v>
      </c>
      <c r="D14" s="21" t="str">
        <f t="shared" si="2"/>
        <v>SUPERA</v>
      </c>
      <c r="E14" s="21">
        <f>IFERROR(VLOOKUP(A14,Carros!$A$4:$O$34,13,FALSE),"")</f>
        <v>2</v>
      </c>
      <c r="F14" s="21">
        <f>'Ocupación Carro-Tiro'!B14</f>
        <v>2</v>
      </c>
      <c r="G14" s="9" t="s">
        <v>166</v>
      </c>
      <c r="H14" s="9" t="s">
        <v>166</v>
      </c>
      <c r="I14" s="22"/>
      <c r="J14" s="22"/>
      <c r="K14" s="22"/>
      <c r="L14" s="22"/>
      <c r="M14" s="22"/>
      <c r="N14" s="22"/>
    </row>
    <row r="15">
      <c r="A15" s="34" t="str">
        <f>Caravana!A17</f>
        <v>Queso</v>
      </c>
      <c r="B15" s="21">
        <f>IFERROR(VLOOKUP(A15,Carros!$A$4:$O$34,10,FALSE),"")</f>
        <v>10</v>
      </c>
      <c r="C15" s="21">
        <f>'Fuerza Carro-Tiro'!B15</f>
        <v>28</v>
      </c>
      <c r="D15" s="21" t="str">
        <f t="shared" si="2"/>
        <v>SUPERA</v>
      </c>
      <c r="E15" s="21">
        <f>IFERROR(VLOOKUP(A15,Carros!$A$4:$O$34,13,FALSE),"")</f>
        <v>2</v>
      </c>
      <c r="F15" s="21">
        <f>'Ocupación Carro-Tiro'!B15</f>
        <v>2</v>
      </c>
      <c r="G15" s="9" t="s">
        <v>166</v>
      </c>
      <c r="H15" s="9" t="s">
        <v>166</v>
      </c>
      <c r="I15" s="22"/>
      <c r="J15" s="22"/>
      <c r="K15" s="22"/>
      <c r="L15" s="22"/>
      <c r="M15" s="22"/>
      <c r="N15" s="22"/>
    </row>
    <row r="16">
      <c r="A16" s="34" t="str">
        <f>Caravana!A18</f>
        <v>Suministros 1</v>
      </c>
      <c r="B16" s="21">
        <f>IFERROR(VLOOKUP(A16,Carros!$A$4:$O$34,10,FALSE),"")</f>
        <v>10</v>
      </c>
      <c r="C16" s="21">
        <f>'Fuerza Carro-Tiro'!B16</f>
        <v>28</v>
      </c>
      <c r="D16" s="21" t="str">
        <f t="shared" si="2"/>
        <v>SUPERA</v>
      </c>
      <c r="E16" s="21">
        <f>IFERROR(VLOOKUP(A16,Carros!$A$4:$O$34,13,FALSE),"")</f>
        <v>2</v>
      </c>
      <c r="F16" s="21">
        <f>'Ocupación Carro-Tiro'!B16</f>
        <v>2</v>
      </c>
      <c r="G16" s="9" t="s">
        <v>166</v>
      </c>
      <c r="H16" s="9" t="s">
        <v>166</v>
      </c>
      <c r="I16" s="22"/>
      <c r="J16" s="22"/>
      <c r="K16" s="22"/>
      <c r="L16" s="22"/>
      <c r="M16" s="22"/>
      <c r="N16" s="22"/>
    </row>
    <row r="17">
      <c r="A17" s="34" t="str">
        <f>Caravana!A19</f>
        <v>Suministros 2</v>
      </c>
      <c r="B17" s="21">
        <f>IFERROR(VLOOKUP(A17,Carros!$A$4:$O$34,10,FALSE),"")</f>
        <v>10</v>
      </c>
      <c r="C17" s="21">
        <f>'Fuerza Carro-Tiro'!B17</f>
        <v>28</v>
      </c>
      <c r="D17" s="21" t="str">
        <f t="shared" si="2"/>
        <v>SUPERA</v>
      </c>
      <c r="E17" s="21">
        <f>IFERROR(VLOOKUP(A17,Carros!$A$4:$O$34,13,FALSE),"")</f>
        <v>2</v>
      </c>
      <c r="F17" s="21">
        <f>'Ocupación Carro-Tiro'!B17</f>
        <v>2</v>
      </c>
      <c r="G17" s="9" t="s">
        <v>166</v>
      </c>
      <c r="H17" s="9" t="s">
        <v>166</v>
      </c>
      <c r="I17" s="22"/>
      <c r="J17" s="22"/>
      <c r="K17" s="22"/>
      <c r="L17" s="22"/>
      <c r="M17" s="22"/>
      <c r="N17" s="22"/>
    </row>
    <row r="18">
      <c r="A18" s="34" t="str">
        <f>Caravana!A20</f>
        <v>Koya</v>
      </c>
      <c r="B18" s="21">
        <f>IFERROR(VLOOKUP(A18,Carros!$A$4:$O$34,10,FALSE),"")</f>
        <v>5</v>
      </c>
      <c r="C18" s="21">
        <f>'Fuerza Carro-Tiro'!B18</f>
        <v>14</v>
      </c>
      <c r="D18" s="21" t="str">
        <f t="shared" si="2"/>
        <v>SUPERA</v>
      </c>
      <c r="E18" s="21">
        <f>IFERROR(VLOOKUP(A18,Carros!$A$4:$O$34,13,FALSE),"")</f>
        <v>1</v>
      </c>
      <c r="F18" s="21">
        <f>'Ocupación Carro-Tiro'!B18</f>
        <v>1</v>
      </c>
      <c r="G18" s="9" t="s">
        <v>166</v>
      </c>
      <c r="H18" s="22"/>
      <c r="I18" s="22"/>
      <c r="J18" s="22"/>
      <c r="K18" s="22"/>
      <c r="L18" s="22"/>
      <c r="M18" s="22"/>
      <c r="N18" s="22"/>
    </row>
    <row r="19">
      <c r="A19" s="34" t="str">
        <f>Caravana!A21</f>
        <v>Taller</v>
      </c>
      <c r="B19" s="21">
        <f>IFERROR(VLOOKUP(A19,Carros!$A$4:$O$34,10,FALSE),"")</f>
        <v>8</v>
      </c>
      <c r="C19" s="21">
        <f>'Fuerza Carro-Tiro'!B19</f>
        <v>28</v>
      </c>
      <c r="D19" s="21" t="str">
        <f t="shared" si="2"/>
        <v>SUPERA</v>
      </c>
      <c r="E19" s="21">
        <f>IFERROR(VLOOKUP(A19,Carros!$A$4:$O$34,13,FALSE),"")</f>
        <v>2</v>
      </c>
      <c r="F19" s="21">
        <f>'Ocupación Carro-Tiro'!B19</f>
        <v>2</v>
      </c>
      <c r="G19" s="9" t="s">
        <v>166</v>
      </c>
      <c r="H19" s="9" t="s">
        <v>166</v>
      </c>
      <c r="I19" s="22"/>
      <c r="J19" s="22"/>
      <c r="K19" s="22"/>
      <c r="L19" s="22"/>
      <c r="M19" s="22"/>
      <c r="N19" s="22"/>
    </row>
    <row r="20">
      <c r="A20" s="34" t="str">
        <f>Caravana!A22</f>
        <v>Escuela</v>
      </c>
      <c r="B20" s="21">
        <f>IFERROR(VLOOKUP(A20,Carros!$A$4:$O$34,10,FALSE),"")</f>
        <v>8</v>
      </c>
      <c r="C20" s="21">
        <f>'Fuerza Carro-Tiro'!B20</f>
        <v>28</v>
      </c>
      <c r="D20" s="21" t="str">
        <f t="shared" si="2"/>
        <v>SUPERA</v>
      </c>
      <c r="E20" s="21">
        <f>IFERROR(VLOOKUP(A20,Carros!$A$4:$O$34,13,FALSE),"")</f>
        <v>2</v>
      </c>
      <c r="F20" s="21">
        <f>'Ocupación Carro-Tiro'!B20</f>
        <v>2</v>
      </c>
      <c r="G20" s="9" t="s">
        <v>166</v>
      </c>
      <c r="H20" s="9" t="s">
        <v>166</v>
      </c>
      <c r="I20" s="22"/>
      <c r="J20" s="22"/>
      <c r="K20" s="22"/>
      <c r="L20" s="22"/>
      <c r="M20" s="22"/>
      <c r="N20" s="22"/>
    </row>
    <row r="21">
      <c r="A21" s="34" t="str">
        <f>Caravana!A23</f>
        <v>Huerto Hagorsson</v>
      </c>
      <c r="B21" s="21">
        <f>IFERROR(VLOOKUP(A21,Carros!$A$4:$O$34,10,FALSE),"")</f>
        <v>10</v>
      </c>
      <c r="C21" s="21">
        <f>'Fuerza Carro-Tiro'!B21</f>
        <v>28</v>
      </c>
      <c r="D21" s="21" t="str">
        <f t="shared" si="2"/>
        <v>SUPERA</v>
      </c>
      <c r="E21" s="21">
        <f>IFERROR(VLOOKUP(A21,Carros!$A$4:$O$34,13,FALSE),"")</f>
        <v>2</v>
      </c>
      <c r="F21" s="21">
        <f>'Ocupación Carro-Tiro'!B21</f>
        <v>2</v>
      </c>
      <c r="G21" s="9" t="s">
        <v>166</v>
      </c>
      <c r="H21" s="9" t="s">
        <v>166</v>
      </c>
      <c r="I21" s="22"/>
      <c r="J21" s="22"/>
      <c r="K21" s="22"/>
      <c r="L21" s="22"/>
      <c r="M21" s="22"/>
      <c r="N21" s="22"/>
    </row>
    <row r="22">
      <c r="A22" s="34" t="str">
        <f>Caravana!A24</f>
        <v>Huerto 1</v>
      </c>
      <c r="B22" s="21">
        <f>IFERROR(VLOOKUP(A22,Carros!$A$4:$O$34,10,FALSE),"")</f>
        <v>10</v>
      </c>
      <c r="C22" s="21">
        <f>'Fuerza Carro-Tiro'!B22</f>
        <v>28</v>
      </c>
      <c r="D22" s="21" t="str">
        <f t="shared" si="2"/>
        <v>SUPERA</v>
      </c>
      <c r="E22" s="21">
        <f>IFERROR(VLOOKUP(A22,Carros!$A$4:$O$34,13,FALSE),"")</f>
        <v>2</v>
      </c>
      <c r="F22" s="21">
        <f>'Ocupación Carro-Tiro'!B22</f>
        <v>2</v>
      </c>
      <c r="G22" s="9" t="s">
        <v>166</v>
      </c>
      <c r="H22" s="9" t="s">
        <v>166</v>
      </c>
      <c r="I22" s="22"/>
      <c r="J22" s="22"/>
      <c r="K22" s="22"/>
      <c r="L22" s="22"/>
      <c r="M22" s="22"/>
      <c r="N22" s="22"/>
    </row>
    <row r="23">
      <c r="A23" s="34" t="str">
        <f>Caravana!A25</f>
        <v>Huerto 2</v>
      </c>
      <c r="B23" s="21">
        <f>IFERROR(VLOOKUP(A23,Carros!$A$4:$O$34,10,FALSE),"")</f>
        <v>10</v>
      </c>
      <c r="C23" s="21">
        <f>'Fuerza Carro-Tiro'!B23</f>
        <v>28</v>
      </c>
      <c r="D23" s="21" t="str">
        <f t="shared" si="2"/>
        <v>SUPERA</v>
      </c>
      <c r="E23" s="21">
        <f>IFERROR(VLOOKUP(A23,Carros!$A$4:$O$34,13,FALSE),"")</f>
        <v>2</v>
      </c>
      <c r="F23" s="21">
        <f>'Ocupación Carro-Tiro'!B23</f>
        <v>2</v>
      </c>
      <c r="G23" s="9" t="s">
        <v>166</v>
      </c>
      <c r="H23" s="9" t="s">
        <v>166</v>
      </c>
      <c r="I23" s="22"/>
      <c r="J23" s="22"/>
      <c r="K23" s="22"/>
      <c r="L23" s="22"/>
      <c r="M23" s="22"/>
      <c r="N23" s="22"/>
    </row>
    <row r="24">
      <c r="A24" s="34" t="str">
        <f>Caravana!A26</f>
        <v>Hospital</v>
      </c>
      <c r="B24" s="21">
        <f>IFERROR(VLOOKUP(A24,Carros!$A$4:$O$34,10,FALSE),"")</f>
        <v>10</v>
      </c>
      <c r="C24" s="21">
        <f>'Fuerza Carro-Tiro'!B24</f>
        <v>28</v>
      </c>
      <c r="D24" s="21" t="str">
        <f t="shared" si="2"/>
        <v>SUPERA</v>
      </c>
      <c r="E24" s="21">
        <f>IFERROR(VLOOKUP(A24,Carros!$A$4:$O$34,13,FALSE),"")</f>
        <v>2</v>
      </c>
      <c r="F24" s="21">
        <f>'Ocupación Carro-Tiro'!B24</f>
        <v>2</v>
      </c>
      <c r="G24" s="9" t="s">
        <v>166</v>
      </c>
      <c r="H24" s="9" t="s">
        <v>166</v>
      </c>
      <c r="I24" s="22"/>
      <c r="J24" s="22"/>
      <c r="K24" s="22"/>
      <c r="L24" s="22"/>
      <c r="M24" s="22"/>
      <c r="N24" s="22"/>
    </row>
    <row r="25">
      <c r="A25" s="34" t="str">
        <f>Caravana!A27</f>
        <v>Bar sin límites</v>
      </c>
      <c r="B25" s="21">
        <f>IFERROR(VLOOKUP(A25,Carros!$A$4:$O$34,10,FALSE),"")</f>
        <v>10</v>
      </c>
      <c r="C25" s="21">
        <f>'Fuerza Carro-Tiro'!B25</f>
        <v>28</v>
      </c>
      <c r="D25" s="21" t="str">
        <f t="shared" si="2"/>
        <v>SUPERA</v>
      </c>
      <c r="E25" s="21">
        <f>IFERROR(VLOOKUP(A25,Carros!$A$4:$O$34,13,FALSE),"")</f>
        <v>2</v>
      </c>
      <c r="F25" s="21">
        <f>'Ocupación Carro-Tiro'!B25</f>
        <v>2</v>
      </c>
      <c r="G25" s="9" t="s">
        <v>166</v>
      </c>
      <c r="H25" s="9" t="s">
        <v>166</v>
      </c>
      <c r="I25" s="22"/>
      <c r="J25" s="22"/>
      <c r="K25" s="22"/>
      <c r="L25" s="22"/>
      <c r="M25" s="22"/>
      <c r="N25" s="22"/>
    </row>
    <row r="26">
      <c r="A26" s="34" t="str">
        <f>Caravana!A28</f>
        <v>Cómodo 1</v>
      </c>
      <c r="B26" s="21">
        <f>IFERROR(VLOOKUP(A26,Carros!$A$4:$O$34,10,FALSE),"")</f>
        <v>14</v>
      </c>
      <c r="C26" s="21">
        <f>'Fuerza Carro-Tiro'!B26</f>
        <v>28</v>
      </c>
      <c r="D26" s="21" t="str">
        <f t="shared" si="2"/>
        <v>SUPERA</v>
      </c>
      <c r="E26" s="21">
        <f>IFERROR(VLOOKUP(A26,Carros!$A$4:$O$34,13,FALSE),"")</f>
        <v>2</v>
      </c>
      <c r="F26" s="21">
        <f>'Ocupación Carro-Tiro'!B26</f>
        <v>2</v>
      </c>
      <c r="G26" s="9" t="s">
        <v>166</v>
      </c>
      <c r="H26" s="9" t="s">
        <v>166</v>
      </c>
      <c r="I26" s="22"/>
      <c r="J26" s="22"/>
      <c r="K26" s="22"/>
      <c r="L26" s="22"/>
      <c r="M26" s="22"/>
      <c r="N26" s="22"/>
    </row>
    <row r="27">
      <c r="A27" s="34" t="str">
        <f>Caravana!A29</f>
        <v>Cómodo 2</v>
      </c>
      <c r="B27" s="21">
        <f>IFERROR(VLOOKUP(A27,Carros!$A$4:$O$34,10,FALSE),"")</f>
        <v>14</v>
      </c>
      <c r="C27" s="21">
        <f>'Fuerza Carro-Tiro'!B27</f>
        <v>28</v>
      </c>
      <c r="D27" s="21" t="str">
        <f t="shared" si="2"/>
        <v>SUPERA</v>
      </c>
      <c r="E27" s="21">
        <f>IFERROR(VLOOKUP(A27,Carros!$A$4:$O$34,13,FALSE),"")</f>
        <v>2</v>
      </c>
      <c r="F27" s="21">
        <f>'Ocupación Carro-Tiro'!B27</f>
        <v>2</v>
      </c>
      <c r="G27" s="9" t="s">
        <v>166</v>
      </c>
      <c r="H27" s="9" t="s">
        <v>166</v>
      </c>
      <c r="I27" s="22"/>
      <c r="J27" s="22"/>
      <c r="K27" s="22"/>
      <c r="L27" s="22"/>
      <c r="M27" s="22"/>
      <c r="N27" s="22"/>
    </row>
    <row r="28">
      <c r="A28" s="34" t="str">
        <f>Caravana!A30</f>
        <v>Real</v>
      </c>
      <c r="B28" s="21">
        <f>IFERROR(VLOOKUP(A28,Carros!$A$4:$O$34,10,FALSE),"")</f>
        <v>18</v>
      </c>
      <c r="C28" s="21">
        <f>'Fuerza Carro-Tiro'!B28</f>
        <v>56</v>
      </c>
      <c r="D28" s="21" t="str">
        <f t="shared" si="2"/>
        <v>SUPERA</v>
      </c>
      <c r="E28" s="21">
        <f>IFERROR(VLOOKUP(A28,Carros!$A$4:$O$34,13,FALSE),"")</f>
        <v>4</v>
      </c>
      <c r="F28" s="21">
        <f>'Ocupación Carro-Tiro'!B28</f>
        <v>4</v>
      </c>
      <c r="G28" s="9" t="s">
        <v>166</v>
      </c>
      <c r="H28" s="9" t="s">
        <v>166</v>
      </c>
      <c r="I28" s="9" t="s">
        <v>166</v>
      </c>
      <c r="J28" s="9" t="s">
        <v>166</v>
      </c>
      <c r="K28" s="22"/>
      <c r="L28" s="22"/>
      <c r="M28" s="22"/>
      <c r="N28" s="22"/>
    </row>
    <row r="29">
      <c r="A29" s="34" t="str">
        <f>Caravana!A31</f>
        <v>Viajeros grande</v>
      </c>
      <c r="B29" s="21">
        <f>IFERROR(VLOOKUP(A29,Carros!$A$4:$O$34,10,FALSE),"")</f>
        <v>12</v>
      </c>
      <c r="C29" s="21">
        <f>'Fuerza Carro-Tiro'!B29</f>
        <v>28</v>
      </c>
      <c r="D29" s="21" t="str">
        <f t="shared" si="2"/>
        <v>SUPERA</v>
      </c>
      <c r="E29" s="21">
        <f>IFERROR(VLOOKUP(A29,Carros!$A$4:$O$34,13,FALSE),"")</f>
        <v>2</v>
      </c>
      <c r="F29" s="21">
        <f>'Ocupación Carro-Tiro'!B29</f>
        <v>2</v>
      </c>
      <c r="G29" s="9" t="s">
        <v>166</v>
      </c>
      <c r="H29" s="9" t="s">
        <v>166</v>
      </c>
      <c r="I29" s="22"/>
      <c r="J29" s="22"/>
      <c r="K29" s="22"/>
      <c r="L29" s="22"/>
      <c r="M29" s="22"/>
      <c r="N29" s="22"/>
    </row>
    <row r="30">
      <c r="A30" s="34" t="str">
        <f>Caravana!A32</f>
        <v/>
      </c>
      <c r="B30" s="21" t="str">
        <f>IFERROR(VLOOKUP(A30,Carros!$A$4:$O$34,10,FALSE),"")</f>
        <v/>
      </c>
      <c r="C30" s="21">
        <f>'Fuerza Carro-Tiro'!B30</f>
        <v>0</v>
      </c>
      <c r="D30" s="21" t="str">
        <f t="shared" si="2"/>
        <v>SUPERA</v>
      </c>
      <c r="E30" s="21" t="str">
        <f>IFERROR(VLOOKUP(A30,Carros!$A$4:$O$34,13,FALSE),"")</f>
        <v/>
      </c>
      <c r="F30" s="21">
        <f>'Ocupación Carro-Tiro'!B30</f>
        <v>0</v>
      </c>
      <c r="G30" s="22"/>
      <c r="H30" s="22"/>
      <c r="I30" s="22"/>
      <c r="J30" s="22"/>
      <c r="K30" s="22"/>
      <c r="L30" s="22"/>
      <c r="M30" s="22"/>
      <c r="N30" s="22"/>
    </row>
    <row r="31">
      <c r="A31" s="34" t="str">
        <f>Caravana!A33</f>
        <v/>
      </c>
      <c r="B31" s="21" t="str">
        <f>IFERROR(VLOOKUP(A31,Carros!$A$4:$O$34,10,FALSE),"")</f>
        <v/>
      </c>
      <c r="C31" s="21">
        <f>'Fuerza Carro-Tiro'!B31</f>
        <v>0</v>
      </c>
      <c r="D31" s="21" t="str">
        <f t="shared" si="2"/>
        <v>SUPERA</v>
      </c>
      <c r="E31" s="21" t="str">
        <f>IFERROR(VLOOKUP(A31,Carros!$A$4:$O$34,13,FALSE),"")</f>
        <v/>
      </c>
      <c r="F31" s="21">
        <f>'Ocupación Carro-Tiro'!B31</f>
        <v>0</v>
      </c>
      <c r="G31" s="22"/>
      <c r="H31" s="22"/>
      <c r="I31" s="22"/>
      <c r="J31" s="22"/>
      <c r="K31" s="22"/>
      <c r="L31" s="22"/>
      <c r="M31" s="22"/>
      <c r="N31" s="22"/>
    </row>
    <row r="32">
      <c r="A32" s="34" t="str">
        <f>Caravana!A34</f>
        <v/>
      </c>
      <c r="B32" s="21" t="str">
        <f>IFERROR(VLOOKUP(A32,Carros!$A$4:$O$34,10,FALSE),"")</f>
        <v/>
      </c>
      <c r="C32" s="21">
        <f>'Fuerza Carro-Tiro'!B32</f>
        <v>0</v>
      </c>
      <c r="D32" s="21" t="str">
        <f t="shared" si="2"/>
        <v>SUPERA</v>
      </c>
      <c r="E32" s="21" t="str">
        <f>IFERROR(VLOOKUP(A32,Carros!$A$4:$O$34,13,FALSE),"")</f>
        <v/>
      </c>
      <c r="F32" s="21">
        <f>'Ocupación Carro-Tiro'!B32</f>
        <v>0</v>
      </c>
      <c r="G32" s="22"/>
      <c r="H32" s="22"/>
      <c r="I32" s="22"/>
      <c r="J32" s="22"/>
      <c r="K32" s="22"/>
      <c r="L32" s="22"/>
      <c r="M32" s="22"/>
      <c r="N32" s="22"/>
    </row>
  </sheetData>
  <dataValidations>
    <dataValidation type="list" allowBlank="1" showErrorMessage="1" sqref="G2:N32">
      <formula1>'Lista Bestias Carga'!$A$2:$A$25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262</v>
      </c>
      <c r="B1" s="20" t="s">
        <v>176</v>
      </c>
      <c r="C1" s="20" t="s">
        <v>263</v>
      </c>
      <c r="D1" s="20" t="s">
        <v>264</v>
      </c>
      <c r="E1" s="20" t="s">
        <v>265</v>
      </c>
      <c r="F1" s="20" t="s">
        <v>266</v>
      </c>
      <c r="G1" s="20" t="s">
        <v>267</v>
      </c>
    </row>
    <row r="2">
      <c r="A2" s="16" t="s">
        <v>268</v>
      </c>
      <c r="B2" s="9">
        <v>3.0</v>
      </c>
      <c r="C2" s="22">
        <f t="shared" ref="C2:C17" si="1">B2*2</f>
        <v>6</v>
      </c>
      <c r="D2" s="9">
        <v>1.0</v>
      </c>
      <c r="E2" s="9">
        <v>0.0</v>
      </c>
      <c r="F2" s="16">
        <f>COUNTIF(Tiro!$G$2:$N$32,A2)</f>
        <v>0</v>
      </c>
      <c r="G2" s="16">
        <f t="shared" ref="G2:G17" si="2">E2-F2</f>
        <v>0</v>
      </c>
    </row>
    <row r="3">
      <c r="A3" s="16" t="s">
        <v>269</v>
      </c>
      <c r="B3" s="9">
        <v>5.0</v>
      </c>
      <c r="C3" s="22">
        <f t="shared" si="1"/>
        <v>10</v>
      </c>
      <c r="D3" s="9">
        <v>1.0</v>
      </c>
      <c r="E3" s="9">
        <v>0.0</v>
      </c>
      <c r="F3" s="16">
        <f>COUNTIF(Tiro!$G$2:$N$32,A3)</f>
        <v>0</v>
      </c>
      <c r="G3" s="16">
        <f t="shared" si="2"/>
        <v>0</v>
      </c>
    </row>
    <row r="4">
      <c r="A4" s="16" t="s">
        <v>270</v>
      </c>
      <c r="B4" s="9">
        <v>2.0</v>
      </c>
      <c r="C4" s="22">
        <f t="shared" si="1"/>
        <v>4</v>
      </c>
      <c r="D4" s="9">
        <v>0.5</v>
      </c>
      <c r="E4" s="9">
        <v>0.0</v>
      </c>
      <c r="F4" s="16">
        <f>COUNTIF(Tiro!$G$2:$N$32,A4)</f>
        <v>0</v>
      </c>
      <c r="G4" s="16">
        <f t="shared" si="2"/>
        <v>0</v>
      </c>
    </row>
    <row r="5">
      <c r="A5" s="16" t="s">
        <v>271</v>
      </c>
      <c r="B5" s="9">
        <v>5.0</v>
      </c>
      <c r="C5" s="22">
        <f t="shared" si="1"/>
        <v>10</v>
      </c>
      <c r="D5" s="9">
        <v>1.0</v>
      </c>
      <c r="E5" s="9">
        <v>6.0</v>
      </c>
      <c r="F5" s="16">
        <f>COUNTIF(Tiro!$G$2:$N$32,A5)</f>
        <v>0</v>
      </c>
      <c r="G5" s="16">
        <f t="shared" si="2"/>
        <v>6</v>
      </c>
    </row>
    <row r="6">
      <c r="A6" s="16" t="s">
        <v>272</v>
      </c>
      <c r="B6" s="9">
        <v>2.0</v>
      </c>
      <c r="C6" s="22">
        <f t="shared" si="1"/>
        <v>4</v>
      </c>
      <c r="D6" s="9">
        <v>0.5</v>
      </c>
      <c r="E6" s="9">
        <v>0.0</v>
      </c>
      <c r="F6" s="16">
        <f>COUNTIF(Tiro!$G$2:$N$32,A6)</f>
        <v>0</v>
      </c>
      <c r="G6" s="16">
        <f t="shared" si="2"/>
        <v>0</v>
      </c>
    </row>
    <row r="7">
      <c r="A7" s="16" t="s">
        <v>273</v>
      </c>
      <c r="B7" s="9">
        <v>7.0</v>
      </c>
      <c r="C7" s="22">
        <f t="shared" si="1"/>
        <v>14</v>
      </c>
      <c r="D7" s="9">
        <v>1.0</v>
      </c>
      <c r="E7" s="9">
        <v>0.0</v>
      </c>
      <c r="F7" s="16">
        <f>COUNTIF(Tiro!$G$2:$N$32,A7)</f>
        <v>0</v>
      </c>
      <c r="G7" s="16">
        <f t="shared" si="2"/>
        <v>0</v>
      </c>
    </row>
    <row r="8">
      <c r="A8" s="16" t="s">
        <v>274</v>
      </c>
      <c r="B8" s="9">
        <v>4.0</v>
      </c>
      <c r="C8" s="22">
        <f t="shared" si="1"/>
        <v>8</v>
      </c>
      <c r="D8" s="9">
        <v>1.0</v>
      </c>
      <c r="E8" s="9">
        <v>0.0</v>
      </c>
      <c r="F8" s="16">
        <f>COUNTIF(Tiro!$G$2:$N$32,A8)</f>
        <v>0</v>
      </c>
      <c r="G8" s="16">
        <f t="shared" si="2"/>
        <v>0</v>
      </c>
    </row>
    <row r="9">
      <c r="A9" s="16" t="s">
        <v>275</v>
      </c>
      <c r="B9" s="9">
        <v>2.0</v>
      </c>
      <c r="C9" s="22">
        <f t="shared" si="1"/>
        <v>4</v>
      </c>
      <c r="D9" s="9">
        <v>0.5</v>
      </c>
      <c r="E9" s="9">
        <v>0.0</v>
      </c>
      <c r="F9" s="16">
        <f>COUNTIF(Tiro!$G$2:$N$32,A9)</f>
        <v>0</v>
      </c>
      <c r="G9" s="16">
        <f t="shared" si="2"/>
        <v>0</v>
      </c>
    </row>
    <row r="10">
      <c r="A10" s="16" t="s">
        <v>276</v>
      </c>
      <c r="B10" s="9">
        <v>6.0</v>
      </c>
      <c r="C10" s="22">
        <f t="shared" si="1"/>
        <v>12</v>
      </c>
      <c r="D10" s="9">
        <v>1.0</v>
      </c>
      <c r="E10" s="9">
        <v>0.0</v>
      </c>
      <c r="F10" s="16">
        <f>COUNTIF(Tiro!$G$2:$N$32,A10)</f>
        <v>0</v>
      </c>
      <c r="G10" s="16">
        <f t="shared" si="2"/>
        <v>0</v>
      </c>
    </row>
    <row r="11">
      <c r="A11" s="16" t="s">
        <v>166</v>
      </c>
      <c r="B11" s="9">
        <v>7.0</v>
      </c>
      <c r="C11" s="22">
        <f t="shared" si="1"/>
        <v>14</v>
      </c>
      <c r="D11" s="9">
        <v>1.0</v>
      </c>
      <c r="E11" s="9">
        <v>57.0</v>
      </c>
      <c r="F11" s="16">
        <f>COUNTIF(Tiro!$G$2:$N$32,A11)</f>
        <v>55</v>
      </c>
      <c r="G11" s="16">
        <f t="shared" si="2"/>
        <v>2</v>
      </c>
    </row>
    <row r="12">
      <c r="A12" s="16" t="s">
        <v>277</v>
      </c>
      <c r="B12" s="9">
        <v>8.0</v>
      </c>
      <c r="C12" s="22">
        <f t="shared" si="1"/>
        <v>16</v>
      </c>
      <c r="D12" s="9">
        <v>1.0</v>
      </c>
      <c r="E12" s="9">
        <v>0.0</v>
      </c>
      <c r="F12" s="16">
        <f>COUNTIF(Tiro!$G$2:$N$32,A12)</f>
        <v>0</v>
      </c>
      <c r="G12" s="16">
        <f t="shared" si="2"/>
        <v>0</v>
      </c>
    </row>
    <row r="13">
      <c r="A13" s="16" t="s">
        <v>278</v>
      </c>
      <c r="B13" s="9">
        <v>3.0</v>
      </c>
      <c r="C13" s="22">
        <f t="shared" si="1"/>
        <v>6</v>
      </c>
      <c r="D13" s="9">
        <v>0.5</v>
      </c>
      <c r="E13" s="9">
        <v>0.0</v>
      </c>
      <c r="F13" s="16">
        <f>COUNTIF(Tiro!$G$2:$N$32,A13)</f>
        <v>0</v>
      </c>
      <c r="G13" s="16">
        <f t="shared" si="2"/>
        <v>0</v>
      </c>
    </row>
    <row r="14">
      <c r="A14" s="16" t="s">
        <v>279</v>
      </c>
      <c r="B14" s="9">
        <v>3.0</v>
      </c>
      <c r="C14" s="22">
        <f t="shared" si="1"/>
        <v>6</v>
      </c>
      <c r="D14" s="9">
        <v>1.0</v>
      </c>
      <c r="E14" s="9">
        <v>0.0</v>
      </c>
      <c r="F14" s="16">
        <f>COUNTIF(Tiro!$G$2:$N$32,A14)</f>
        <v>0</v>
      </c>
      <c r="G14" s="16">
        <f t="shared" si="2"/>
        <v>0</v>
      </c>
    </row>
    <row r="15">
      <c r="A15" s="16" t="s">
        <v>280</v>
      </c>
      <c r="B15" s="9">
        <v>4.0</v>
      </c>
      <c r="C15" s="22">
        <f t="shared" si="1"/>
        <v>8</v>
      </c>
      <c r="D15" s="9">
        <v>1.0</v>
      </c>
      <c r="E15" s="9">
        <v>0.0</v>
      </c>
      <c r="F15" s="16">
        <f>COUNTIF(Tiro!$G$2:$N$32,A15)</f>
        <v>0</v>
      </c>
      <c r="G15" s="16">
        <f t="shared" si="2"/>
        <v>0</v>
      </c>
    </row>
    <row r="16">
      <c r="A16" s="16" t="s">
        <v>281</v>
      </c>
      <c r="B16" s="9">
        <v>2.0</v>
      </c>
      <c r="C16" s="22">
        <f t="shared" si="1"/>
        <v>4</v>
      </c>
      <c r="D16" s="9">
        <v>0.5</v>
      </c>
      <c r="E16" s="9">
        <v>0.0</v>
      </c>
      <c r="F16" s="16">
        <f>COUNTIF(Tiro!$G$2:$N$32,A16)</f>
        <v>0</v>
      </c>
      <c r="G16" s="16">
        <f t="shared" si="2"/>
        <v>0</v>
      </c>
    </row>
    <row r="17">
      <c r="A17" s="16" t="s">
        <v>282</v>
      </c>
      <c r="B17" s="9">
        <v>3.0</v>
      </c>
      <c r="C17" s="22">
        <f t="shared" si="1"/>
        <v>6</v>
      </c>
      <c r="D17" s="9">
        <v>0.5</v>
      </c>
      <c r="E17" s="9">
        <v>0.0</v>
      </c>
      <c r="F17" s="16">
        <f>COUNTIF(Tiro!$G$2:$N$32,A17)</f>
        <v>0</v>
      </c>
      <c r="G17" s="16">
        <f t="shared" si="2"/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5.75"/>
  </cols>
  <sheetData>
    <row r="1">
      <c r="A1" s="20" t="s">
        <v>15</v>
      </c>
      <c r="B1" s="25" t="s">
        <v>11</v>
      </c>
      <c r="C1" s="25" t="s">
        <v>283</v>
      </c>
    </row>
    <row r="2">
      <c r="A2" s="16" t="s">
        <v>284</v>
      </c>
      <c r="B2" s="35">
        <v>1.0</v>
      </c>
      <c r="C2" s="36">
        <f>COUNTIF(Carga!$D$2:$AG$32,A2)</f>
        <v>0</v>
      </c>
    </row>
    <row r="3">
      <c r="A3" s="16" t="s">
        <v>248</v>
      </c>
      <c r="B3" s="35">
        <v>1.0</v>
      </c>
      <c r="C3" s="36">
        <f>COUNTIF(Carga!$D$2:$AG$32,A3)</f>
        <v>1</v>
      </c>
    </row>
    <row r="4">
      <c r="A4" s="16" t="s">
        <v>246</v>
      </c>
      <c r="B4" s="35">
        <v>1.0</v>
      </c>
      <c r="C4" s="36">
        <f>COUNTIF(Carga!$D$2:$AG$32,A4)</f>
        <v>26</v>
      </c>
    </row>
    <row r="5">
      <c r="A5" s="16" t="s">
        <v>285</v>
      </c>
      <c r="B5" s="35">
        <v>1.0</v>
      </c>
      <c r="C5" s="36">
        <f>COUNTIF(Carga!$D$2:$AG$32,A5)</f>
        <v>0</v>
      </c>
    </row>
    <row r="6">
      <c r="A6" s="16" t="s">
        <v>286</v>
      </c>
      <c r="B6" s="35">
        <v>1.0</v>
      </c>
      <c r="C6" s="36">
        <f>COUNTIF(Carga!$D$2:$AG$32,A6)</f>
        <v>0</v>
      </c>
    </row>
    <row r="7">
      <c r="A7" s="16" t="s">
        <v>252</v>
      </c>
      <c r="B7" s="35">
        <v>1.0</v>
      </c>
      <c r="C7" s="36">
        <f>COUNTIF(Carga!$D$2:$AG$32,A7)</f>
        <v>3</v>
      </c>
    </row>
    <row r="8">
      <c r="A8" s="16" t="s">
        <v>287</v>
      </c>
      <c r="B8" s="35">
        <v>1.0</v>
      </c>
      <c r="C8" s="36">
        <f>COUNTIF(Carga!$D$2:$AG$32,A8)</f>
        <v>0</v>
      </c>
    </row>
    <row r="9">
      <c r="A9" s="16" t="s">
        <v>288</v>
      </c>
      <c r="B9" s="35">
        <v>1.0</v>
      </c>
      <c r="C9" s="36">
        <f>COUNTIF(Carga!$D$2:$AG$32,A9)</f>
        <v>0</v>
      </c>
    </row>
    <row r="10">
      <c r="A10" s="16" t="s">
        <v>238</v>
      </c>
      <c r="B10" s="35">
        <v>1.0</v>
      </c>
      <c r="C10" s="36">
        <f>COUNTIF(Carga!$D$2:$AG$32,A10)</f>
        <v>1</v>
      </c>
    </row>
    <row r="11">
      <c r="A11" s="16" t="s">
        <v>239</v>
      </c>
      <c r="B11" s="35">
        <v>1.0</v>
      </c>
      <c r="C11" s="36">
        <f>COUNTIF(Carga!$D$2:$AG$32,A11)</f>
        <v>7</v>
      </c>
    </row>
    <row r="12">
      <c r="A12" s="16" t="s">
        <v>289</v>
      </c>
      <c r="B12" s="35">
        <v>1.0</v>
      </c>
      <c r="C12" s="36">
        <f>COUNTIF(Carga!$D$2:$AG$32,A12)</f>
        <v>0</v>
      </c>
    </row>
    <row r="13">
      <c r="A13" s="16" t="s">
        <v>242</v>
      </c>
      <c r="B13" s="35">
        <v>1.0</v>
      </c>
      <c r="C13" s="36">
        <f>COUNTIF(Carga!$D$2:$AG$32,A13)</f>
        <v>10</v>
      </c>
    </row>
    <row r="14">
      <c r="A14" s="16" t="s">
        <v>290</v>
      </c>
      <c r="B14" s="35">
        <v>1.0</v>
      </c>
      <c r="C14" s="36">
        <f>COUNTIF(Carga!$D$2:$AG$32,A14)</f>
        <v>0</v>
      </c>
    </row>
    <row r="15">
      <c r="A15" s="16" t="s">
        <v>291</v>
      </c>
      <c r="B15" s="35">
        <v>1.0</v>
      </c>
      <c r="C15" s="36">
        <f>COUNTIF(Carga!$D$2:$AG$32,A15)</f>
        <v>0</v>
      </c>
    </row>
    <row r="16">
      <c r="A16" s="16" t="s">
        <v>236</v>
      </c>
      <c r="B16" s="35">
        <v>1.0</v>
      </c>
      <c r="C16" s="36">
        <f>COUNTIF(Carga!$D$2:$AG$32,A16)</f>
        <v>9</v>
      </c>
    </row>
    <row r="17">
      <c r="A17" s="16" t="s">
        <v>250</v>
      </c>
      <c r="B17" s="35">
        <v>1.0</v>
      </c>
      <c r="C17" s="36">
        <f>COUNTIF(Carga!$D$2:$AG$32,A17)</f>
        <v>4</v>
      </c>
    </row>
    <row r="18">
      <c r="A18" s="16" t="s">
        <v>243</v>
      </c>
      <c r="B18" s="35">
        <v>1.0</v>
      </c>
      <c r="C18" s="36">
        <f>COUNTIF(Carga!$D$2:$AG$32,A18)</f>
        <v>13</v>
      </c>
    </row>
    <row r="19">
      <c r="A19" s="16" t="s">
        <v>245</v>
      </c>
      <c r="B19" s="35">
        <v>1.0</v>
      </c>
      <c r="C19" s="36">
        <f>COUNTIF(Carga!$D$2:$AG$32,A19)</f>
        <v>26</v>
      </c>
    </row>
    <row r="20">
      <c r="A20" s="16" t="s">
        <v>244</v>
      </c>
      <c r="B20" s="35">
        <v>1.0</v>
      </c>
      <c r="C20" s="36">
        <f>COUNTIF(Carga!$D$2:$AG$32,A20)</f>
        <v>11</v>
      </c>
    </row>
    <row r="21">
      <c r="A21" s="16" t="s">
        <v>292</v>
      </c>
      <c r="B21" s="35">
        <v>1.0</v>
      </c>
      <c r="C21" s="36">
        <f>COUNTIF(Carga!$D$2:$AG$32,A21)</f>
        <v>0</v>
      </c>
    </row>
    <row r="22">
      <c r="A22" s="16" t="s">
        <v>293</v>
      </c>
      <c r="B22" s="35">
        <v>1.0</v>
      </c>
      <c r="C22" s="36">
        <f>COUNTIF(Carga!$D$2:$AG$32,A22)</f>
        <v>0</v>
      </c>
    </row>
    <row r="23">
      <c r="A23" s="16" t="s">
        <v>294</v>
      </c>
      <c r="B23" s="35">
        <v>1.0</v>
      </c>
      <c r="C23" s="36">
        <f>COUNTIF(Carga!$D$2:$AG$32,A23)</f>
        <v>0</v>
      </c>
    </row>
    <row r="24">
      <c r="A24" s="16" t="s">
        <v>295</v>
      </c>
      <c r="B24" s="35">
        <v>1.0</v>
      </c>
      <c r="C24" s="36">
        <f>COUNTIF(Carga!$D$2:$AG$32,A24)</f>
        <v>0</v>
      </c>
    </row>
    <row r="25">
      <c r="A25" s="16" t="s">
        <v>296</v>
      </c>
      <c r="B25" s="35">
        <v>1.0</v>
      </c>
      <c r="C25" s="36">
        <f>COUNTIF(Carga!$D$2:$AG$32,A25)</f>
        <v>0</v>
      </c>
    </row>
    <row r="26">
      <c r="A26" s="16" t="s">
        <v>297</v>
      </c>
      <c r="B26" s="35">
        <v>1.0</v>
      </c>
      <c r="C26" s="36">
        <f>COUNTIF(Carga!$D$2:$AG$32,A26)</f>
        <v>0</v>
      </c>
    </row>
    <row r="27">
      <c r="A27" s="16" t="s">
        <v>298</v>
      </c>
      <c r="B27" s="35">
        <v>1.0</v>
      </c>
      <c r="C27" s="36">
        <f>COUNTIF(Carga!$D$2:$AG$32,A27)</f>
        <v>0</v>
      </c>
    </row>
    <row r="28">
      <c r="A28" s="16" t="s">
        <v>299</v>
      </c>
      <c r="B28" s="35">
        <v>5.0</v>
      </c>
      <c r="C28" s="36">
        <f>COUNTIF(Carga!$D$2:$AG$32,A28)</f>
        <v>0</v>
      </c>
    </row>
    <row r="29">
      <c r="A29" s="16" t="s">
        <v>300</v>
      </c>
      <c r="B29" s="35">
        <v>1.0</v>
      </c>
      <c r="C29" s="36">
        <f>COUNTIF(Carga!$D$2:$AG$32,A29)</f>
        <v>0</v>
      </c>
    </row>
    <row r="30">
      <c r="A30" s="16" t="s">
        <v>301</v>
      </c>
      <c r="B30" s="35">
        <v>1.0</v>
      </c>
      <c r="C30" s="36">
        <f>COUNTIF(Carga!$D$2:$AG$32,A30)</f>
        <v>0</v>
      </c>
    </row>
    <row r="31">
      <c r="A31" s="16" t="s">
        <v>302</v>
      </c>
      <c r="B31" s="35">
        <v>1.0</v>
      </c>
      <c r="C31" s="36">
        <f>COUNTIF(Carga!$D$2:$AG$32,A31)</f>
        <v>0</v>
      </c>
    </row>
    <row r="32">
      <c r="A32" s="16" t="s">
        <v>303</v>
      </c>
      <c r="B32" s="35">
        <v>1.0</v>
      </c>
      <c r="C32" s="36">
        <f>COUNTIF(Carga!$D$2:$AG$32,A32)</f>
        <v>0</v>
      </c>
    </row>
    <row r="33">
      <c r="A33" s="16" t="s">
        <v>247</v>
      </c>
      <c r="B33" s="35">
        <v>1.0</v>
      </c>
      <c r="C33" s="36">
        <f>COUNTIF(Carga!$D$2:$AG$32,A33)</f>
        <v>8</v>
      </c>
    </row>
    <row r="34">
      <c r="A34" s="16" t="s">
        <v>304</v>
      </c>
      <c r="B34" s="35">
        <v>1.0</v>
      </c>
      <c r="C34" s="36">
        <f>COUNTIF(Carga!$D$2:$AG$32,A34)</f>
        <v>0</v>
      </c>
    </row>
    <row r="35">
      <c r="A35" s="16" t="s">
        <v>240</v>
      </c>
      <c r="B35" s="35">
        <v>2.0</v>
      </c>
      <c r="C35" s="36">
        <f>COUNTIF(Carga!$D$2:$AG$32,A35)</f>
        <v>1</v>
      </c>
    </row>
    <row r="36">
      <c r="A36" s="16" t="s">
        <v>237</v>
      </c>
      <c r="B36" s="35">
        <v>1.0</v>
      </c>
      <c r="C36" s="36">
        <f>COUNTIF(Carga!$D$2:$AG$32,A36)</f>
        <v>3</v>
      </c>
    </row>
    <row r="37">
      <c r="A37" s="16" t="s">
        <v>241</v>
      </c>
      <c r="B37" s="35">
        <v>2.0</v>
      </c>
      <c r="C37" s="36">
        <f>COUNTIF(Carga!$D$2:$AG$32,A37)</f>
        <v>1</v>
      </c>
    </row>
    <row r="38">
      <c r="A38" s="9" t="s">
        <v>202</v>
      </c>
      <c r="B38" s="31">
        <v>1.0</v>
      </c>
      <c r="C38" s="36">
        <f>COUNTIF(Carga!$D$2:$AG$32,A38)</f>
        <v>20</v>
      </c>
    </row>
    <row r="39">
      <c r="A39" s="16" t="s">
        <v>249</v>
      </c>
      <c r="B39" s="31">
        <v>1.0</v>
      </c>
      <c r="C39" s="36">
        <f>COUNTIF(Carga!$D$2:$AG$32,A39)</f>
        <v>1</v>
      </c>
    </row>
    <row r="40">
      <c r="A40" s="9" t="s">
        <v>251</v>
      </c>
      <c r="B40" s="31">
        <v>1.0</v>
      </c>
      <c r="C40" s="36">
        <f>COUNTIF(Carga!$D$2:$AG$32,A40)</f>
        <v>1</v>
      </c>
    </row>
    <row r="41">
      <c r="A41" s="9" t="s">
        <v>253</v>
      </c>
      <c r="B41" s="31">
        <v>1.0</v>
      </c>
      <c r="C41" s="36">
        <f>COUNTIF(Carga!$D$2:$AG$32,A41)</f>
        <v>2</v>
      </c>
    </row>
    <row r="42">
      <c r="A42" s="9" t="s">
        <v>254</v>
      </c>
      <c r="B42" s="31">
        <v>0.5</v>
      </c>
      <c r="C42" s="36">
        <f>COUNTIF(Carga!$D$2:$AG$32,A42)</f>
        <v>1</v>
      </c>
    </row>
    <row r="43">
      <c r="A43" s="9" t="s">
        <v>256</v>
      </c>
      <c r="B43" s="31">
        <v>0.0</v>
      </c>
      <c r="C43" s="36">
        <f>COUNTIF(Carga!$D$2:$AG$32,A43)</f>
        <v>1</v>
      </c>
    </row>
    <row r="44">
      <c r="A44" s="9" t="s">
        <v>255</v>
      </c>
      <c r="B44" s="31">
        <v>1.0</v>
      </c>
      <c r="C44" s="36">
        <f>COUNTIF(Carga!$D$2:$AG$32,A44)</f>
        <v>1</v>
      </c>
    </row>
    <row r="45">
      <c r="B45" s="31">
        <v>0.0</v>
      </c>
      <c r="C45" s="36">
        <f>COUNTIF(Carga!$D$2:$AG$32,A45)</f>
        <v>0</v>
      </c>
    </row>
    <row r="46">
      <c r="B46" s="31">
        <v>0.0</v>
      </c>
      <c r="C46" s="36">
        <f>COUNTIF(Carga!$D$2:$AG$32,A46)</f>
        <v>0</v>
      </c>
    </row>
    <row r="47">
      <c r="B47" s="31">
        <v>0.0</v>
      </c>
      <c r="C47" s="36">
        <f>COUNTIF(Carga!$D$2:$AG$32,A47)</f>
        <v>0</v>
      </c>
    </row>
    <row r="48">
      <c r="B48" s="31">
        <v>0.0</v>
      </c>
      <c r="C48" s="36">
        <f>COUNTIF(Carga!$D$2:$AG$32,A48)</f>
        <v>0</v>
      </c>
    </row>
    <row r="49">
      <c r="B49" s="31">
        <v>0.0</v>
      </c>
      <c r="C49" s="36">
        <f>COUNTIF(Carga!$D$2:$AG$32,A49)</f>
        <v>0</v>
      </c>
    </row>
    <row r="50">
      <c r="B50" s="31">
        <v>0.0</v>
      </c>
      <c r="C50" s="36">
        <f>COUNTIF(Carga!$D$2:$AG$32,A50)</f>
        <v>0</v>
      </c>
    </row>
    <row r="51">
      <c r="B51" s="31">
        <v>0.0</v>
      </c>
      <c r="C51" s="36">
        <f>COUNTIF(Carga!$D$2:$AG$32,A51)</f>
        <v>0</v>
      </c>
    </row>
    <row r="52">
      <c r="B52" s="31">
        <v>0.0</v>
      </c>
      <c r="C52" s="36">
        <f>COUNTIF(Carga!$D$2:$AG$32,A52)</f>
        <v>0</v>
      </c>
    </row>
    <row r="53">
      <c r="B53" s="31">
        <v>0.0</v>
      </c>
      <c r="C53" s="36">
        <f>COUNTIF(Carga!$D$2:$AG$32,A53)</f>
        <v>0</v>
      </c>
    </row>
    <row r="54">
      <c r="B54" s="31">
        <v>0.0</v>
      </c>
      <c r="C54" s="36">
        <f>COUNTIF(Carga!$D$2:$AG$32,A54)</f>
        <v>0</v>
      </c>
    </row>
    <row r="55">
      <c r="B55" s="31">
        <v>0.0</v>
      </c>
      <c r="C55" s="36">
        <f>COUNTIF(Carga!$D$2:$AG$32,A55)</f>
        <v>0</v>
      </c>
    </row>
    <row r="56">
      <c r="B56" s="31">
        <v>0.0</v>
      </c>
      <c r="C56" s="36">
        <f>COUNTIF(Carga!$D$2:$AG$32,A56)</f>
        <v>0</v>
      </c>
    </row>
    <row r="57">
      <c r="B57" s="31">
        <v>0.0</v>
      </c>
      <c r="C57" s="36">
        <f>COUNTIF(Carga!$D$2:$AG$32,A57)</f>
        <v>0</v>
      </c>
    </row>
    <row r="58">
      <c r="B58" s="31">
        <v>0.0</v>
      </c>
      <c r="C58" s="36">
        <f>COUNTIF(Carga!$D$2:$AG$32,A58)</f>
        <v>0</v>
      </c>
    </row>
    <row r="59">
      <c r="B59" s="31">
        <v>0.0</v>
      </c>
      <c r="C59" s="36">
        <f>COUNTIF(Carga!$D$2:$AG$32,A59)</f>
        <v>0</v>
      </c>
    </row>
    <row r="60">
      <c r="B60" s="31">
        <v>0.0</v>
      </c>
      <c r="C60" s="36">
        <f>COUNTIF(Carga!$D$2:$AG$32,A60)</f>
        <v>0</v>
      </c>
    </row>
    <row r="61">
      <c r="B61" s="31">
        <v>0.0</v>
      </c>
      <c r="C61" s="36">
        <f>COUNTIF(Carga!$D$2:$AG$32,A61)</f>
        <v>0</v>
      </c>
    </row>
    <row r="62">
      <c r="B62" s="31">
        <v>0.0</v>
      </c>
      <c r="C62" s="36">
        <f>COUNTIF(Carga!$D$2:$AG$32,A62)</f>
        <v>0</v>
      </c>
    </row>
    <row r="63">
      <c r="B63" s="31">
        <v>0.0</v>
      </c>
      <c r="C63" s="36">
        <f>COUNTIF(Carga!$D$2:$AG$32,A63)</f>
        <v>0</v>
      </c>
    </row>
    <row r="64">
      <c r="B64" s="31">
        <v>0.0</v>
      </c>
      <c r="C64" s="36">
        <f>COUNTIF(Carga!$D$2:$AG$32,A64)</f>
        <v>0</v>
      </c>
    </row>
    <row r="65">
      <c r="B65" s="31">
        <v>0.0</v>
      </c>
      <c r="C65" s="36">
        <f>COUNTIF(Carga!$D$2:$AG$32,A65)</f>
        <v>0</v>
      </c>
    </row>
    <row r="66">
      <c r="B66" s="31">
        <v>0.0</v>
      </c>
      <c r="C66" s="36">
        <f>COUNTIF(Carga!$D$2:$AG$32,A66)</f>
        <v>0</v>
      </c>
    </row>
    <row r="67">
      <c r="B67" s="31">
        <v>0.0</v>
      </c>
      <c r="C67" s="36">
        <f>COUNTIF(Carga!$D$2:$AG$32,A67)</f>
        <v>0</v>
      </c>
    </row>
    <row r="68">
      <c r="B68" s="31">
        <v>0.0</v>
      </c>
      <c r="C68" s="36">
        <f>COUNTIF(Carga!$D$2:$AG$32,A68)</f>
        <v>0</v>
      </c>
    </row>
    <row r="69">
      <c r="B69" s="31">
        <v>0.0</v>
      </c>
      <c r="C69" s="36">
        <f>COUNTIF(Carga!$D$2:$AG$32,A69)</f>
        <v>0</v>
      </c>
    </row>
    <row r="70">
      <c r="B70" s="31">
        <v>0.0</v>
      </c>
      <c r="C70" s="36">
        <f>COUNTIF(Carga!$D$2:$AG$32,A70)</f>
        <v>0</v>
      </c>
    </row>
    <row r="71">
      <c r="B71" s="31">
        <v>0.0</v>
      </c>
      <c r="C71" s="36">
        <f>COUNTIF(Carga!$D$2:$AG$32,A71)</f>
        <v>0</v>
      </c>
    </row>
    <row r="72">
      <c r="B72" s="31">
        <v>0.0</v>
      </c>
      <c r="C72" s="36">
        <f>COUNTIF(Carga!$D$2:$AG$32,A72)</f>
        <v>0</v>
      </c>
    </row>
    <row r="73">
      <c r="B73" s="31">
        <v>0.0</v>
      </c>
      <c r="C73" s="36">
        <f>COUNTIF(Carga!$D$2:$AG$32,A73)</f>
        <v>0</v>
      </c>
    </row>
    <row r="74">
      <c r="B74" s="31">
        <v>0.0</v>
      </c>
      <c r="C74" s="36">
        <f>COUNTIF(Carga!$D$2:$AG$32,A74)</f>
        <v>0</v>
      </c>
    </row>
    <row r="75">
      <c r="B75" s="31">
        <v>0.0</v>
      </c>
      <c r="C75" s="36">
        <f>COUNTIF(Carga!$D$2:$AG$32,A75)</f>
        <v>0</v>
      </c>
    </row>
    <row r="76">
      <c r="B76" s="31">
        <v>0.0</v>
      </c>
      <c r="C76" s="36">
        <f>COUNTIF(Carga!$D$2:$AG$32,A76)</f>
        <v>0</v>
      </c>
    </row>
    <row r="77">
      <c r="B77" s="31">
        <v>0.0</v>
      </c>
      <c r="C77" s="36">
        <f>COUNTIF(Carga!$D$2:$AG$32,A77)</f>
        <v>0</v>
      </c>
    </row>
    <row r="78">
      <c r="B78" s="31">
        <v>0.0</v>
      </c>
      <c r="C78" s="36">
        <f>COUNTIF(Carga!$D$2:$AG$32,A78)</f>
        <v>0</v>
      </c>
    </row>
    <row r="79">
      <c r="B79" s="31">
        <v>0.0</v>
      </c>
      <c r="C79" s="36">
        <f>COUNTIF(Carga!$D$2:$AG$32,A79)</f>
        <v>0</v>
      </c>
    </row>
    <row r="80">
      <c r="B80" s="31">
        <v>0.0</v>
      </c>
      <c r="C80" s="36">
        <f>COUNTIF(Carga!$D$2:$AG$32,A80)</f>
        <v>0</v>
      </c>
    </row>
    <row r="81">
      <c r="B81" s="31">
        <v>0.0</v>
      </c>
      <c r="C81" s="36">
        <f>COUNTIF(Carga!$D$2:$AG$32,A81)</f>
        <v>0</v>
      </c>
    </row>
    <row r="82">
      <c r="B82" s="31">
        <v>0.0</v>
      </c>
      <c r="C82" s="36">
        <f>COUNTIF(Carga!$D$2:$AG$32,A82)</f>
        <v>0</v>
      </c>
    </row>
    <row r="83">
      <c r="B83" s="31">
        <v>0.0</v>
      </c>
      <c r="C83" s="36">
        <f>COUNTIF(Carga!$D$2:$AG$32,A83)</f>
        <v>0</v>
      </c>
    </row>
    <row r="84">
      <c r="B84" s="31">
        <v>0.0</v>
      </c>
      <c r="C84" s="36">
        <f>COUNTIF(Carga!$D$2:$AG$32,A84)</f>
        <v>0</v>
      </c>
    </row>
    <row r="85">
      <c r="B85" s="31">
        <v>0.0</v>
      </c>
      <c r="C85" s="36">
        <f>COUNTIF(Carga!$D$2:$AG$32,A85)</f>
        <v>0</v>
      </c>
    </row>
    <row r="86">
      <c r="B86" s="31">
        <v>0.0</v>
      </c>
      <c r="C86" s="36">
        <f>COUNTIF(Carga!$D$2:$AG$32,A86)</f>
        <v>0</v>
      </c>
    </row>
    <row r="87">
      <c r="B87" s="31">
        <v>0.0</v>
      </c>
      <c r="C87" s="36">
        <f>COUNTIF(Carga!$D$2:$AG$32,A87)</f>
        <v>0</v>
      </c>
    </row>
    <row r="88">
      <c r="B88" s="31">
        <v>0.0</v>
      </c>
      <c r="C88" s="36">
        <f>COUNTIF(Carga!$D$2:$AG$32,A88)</f>
        <v>0</v>
      </c>
    </row>
    <row r="89">
      <c r="B89" s="31">
        <v>0.0</v>
      </c>
      <c r="C89" s="36">
        <f>COUNTIF(Carga!$D$2:$AG$32,A89)</f>
        <v>0</v>
      </c>
    </row>
    <row r="90">
      <c r="B90" s="31">
        <v>0.0</v>
      </c>
      <c r="C90" s="36">
        <f>COUNTIF(Carga!$D$2:$AG$32,A90)</f>
        <v>0</v>
      </c>
    </row>
    <row r="91">
      <c r="B91" s="31">
        <v>0.0</v>
      </c>
      <c r="C91" s="36">
        <f>COUNTIF(Carga!$D$2:$AG$32,A91)</f>
        <v>0</v>
      </c>
    </row>
    <row r="92">
      <c r="B92" s="31">
        <v>0.0</v>
      </c>
      <c r="C92" s="36">
        <f>COUNTIF(Carga!$D$2:$AG$32,A92)</f>
        <v>0</v>
      </c>
    </row>
    <row r="93">
      <c r="B93" s="31">
        <v>0.0</v>
      </c>
      <c r="C93" s="36">
        <f>COUNTIF(Carga!$D$2:$AG$32,A93)</f>
        <v>0</v>
      </c>
    </row>
    <row r="94">
      <c r="B94" s="31">
        <v>0.0</v>
      </c>
      <c r="C94" s="36">
        <f>COUNTIF(Carga!$D$2:$AG$32,A94)</f>
        <v>0</v>
      </c>
    </row>
    <row r="95">
      <c r="B95" s="31">
        <v>0.0</v>
      </c>
      <c r="C95" s="36">
        <f>COUNTIF(Carga!$D$2:$AG$32,A95)</f>
        <v>0</v>
      </c>
    </row>
    <row r="96">
      <c r="B96" s="31">
        <v>0.0</v>
      </c>
      <c r="C96" s="36">
        <f>COUNTIF(Carga!$D$2:$AG$32,A96)</f>
        <v>0</v>
      </c>
    </row>
    <row r="97">
      <c r="B97" s="31">
        <v>0.0</v>
      </c>
      <c r="C97" s="36">
        <f>COUNTIF(Carga!$D$2:$AG$32,A97)</f>
        <v>0</v>
      </c>
    </row>
    <row r="98">
      <c r="B98" s="31">
        <v>0.0</v>
      </c>
      <c r="C98" s="36">
        <f>COUNTIF(Carga!$D$2:$AG$32,A98)</f>
        <v>0</v>
      </c>
    </row>
    <row r="99">
      <c r="B99" s="31">
        <v>0.0</v>
      </c>
      <c r="C99" s="36">
        <f>COUNTIF(Carga!$D$2:$AG$32,A99)</f>
        <v>0</v>
      </c>
    </row>
    <row r="100">
      <c r="B100" s="31">
        <v>0.0</v>
      </c>
      <c r="C100" s="36">
        <f>COUNTIF(Carga!$D$2:$AG$32,A100)</f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6.75"/>
  </cols>
  <sheetData>
    <row r="1">
      <c r="A1" s="37" t="s">
        <v>7</v>
      </c>
      <c r="B1" s="37" t="s">
        <v>16</v>
      </c>
      <c r="C1" s="38" t="s">
        <v>8</v>
      </c>
      <c r="D1" s="5"/>
      <c r="E1" s="39" t="s">
        <v>175</v>
      </c>
      <c r="F1" s="37" t="s">
        <v>305</v>
      </c>
      <c r="G1" s="37" t="s">
        <v>306</v>
      </c>
      <c r="H1" s="37" t="s">
        <v>24</v>
      </c>
      <c r="I1" s="38" t="s">
        <v>307</v>
      </c>
      <c r="J1" s="5"/>
      <c r="K1" s="37" t="s">
        <v>308</v>
      </c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>
      <c r="A2" s="41"/>
      <c r="B2" s="41"/>
      <c r="C2" s="39" t="s">
        <v>13</v>
      </c>
      <c r="D2" s="39" t="s">
        <v>14</v>
      </c>
      <c r="E2" s="39" t="s">
        <v>309</v>
      </c>
      <c r="F2" s="41"/>
      <c r="G2" s="41"/>
      <c r="H2" s="41"/>
      <c r="I2" s="39" t="s">
        <v>3</v>
      </c>
      <c r="J2" s="39" t="s">
        <v>310</v>
      </c>
      <c r="K2" s="41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>
      <c r="A3" s="42" t="s">
        <v>311</v>
      </c>
      <c r="B3" s="42" t="s">
        <v>3</v>
      </c>
      <c r="C3" s="42">
        <v>30.0</v>
      </c>
      <c r="D3" s="42">
        <v>5.0</v>
      </c>
      <c r="E3" s="43">
        <f>+4</f>
        <v>4</v>
      </c>
      <c r="F3" s="42">
        <v>1.0</v>
      </c>
      <c r="G3" s="43"/>
      <c r="H3" s="42">
        <v>2.0</v>
      </c>
      <c r="I3" s="42">
        <v>8.0</v>
      </c>
      <c r="J3" s="42">
        <v>4.0</v>
      </c>
      <c r="K3" s="43"/>
    </row>
    <row r="4">
      <c r="A4" s="42" t="s">
        <v>184</v>
      </c>
      <c r="B4" s="42" t="s">
        <v>3</v>
      </c>
      <c r="C4" s="42">
        <v>60.0</v>
      </c>
      <c r="D4" s="42">
        <v>5.0</v>
      </c>
      <c r="E4" s="43">
        <f>+10</f>
        <v>10</v>
      </c>
      <c r="F4" s="42">
        <v>2.0</v>
      </c>
      <c r="G4" s="43"/>
      <c r="H4" s="42">
        <v>2.0</v>
      </c>
      <c r="I4" s="42">
        <v>8.0</v>
      </c>
      <c r="J4" s="42">
        <v>4.0</v>
      </c>
      <c r="K4" s="42" t="s">
        <v>312</v>
      </c>
    </row>
    <row r="5">
      <c r="A5" s="42" t="s">
        <v>313</v>
      </c>
      <c r="B5" s="42" t="s">
        <v>3</v>
      </c>
      <c r="C5" s="42">
        <v>30.0</v>
      </c>
      <c r="D5" s="42">
        <v>5.0</v>
      </c>
      <c r="E5" s="43">
        <f t="shared" ref="E5:E7" si="1">+5</f>
        <v>5</v>
      </c>
      <c r="F5" s="42">
        <v>1.0</v>
      </c>
      <c r="G5" s="42">
        <v>2.0</v>
      </c>
      <c r="H5" s="42">
        <v>2.0</v>
      </c>
      <c r="I5" s="42">
        <v>16.0</v>
      </c>
      <c r="J5" s="42">
        <v>2.0</v>
      </c>
      <c r="K5" s="43"/>
    </row>
    <row r="6">
      <c r="A6" s="42" t="s">
        <v>190</v>
      </c>
      <c r="B6" s="42" t="s">
        <v>3</v>
      </c>
      <c r="C6" s="42">
        <v>60.0</v>
      </c>
      <c r="D6" s="42">
        <v>5.0</v>
      </c>
      <c r="E6" s="43">
        <f t="shared" si="1"/>
        <v>5</v>
      </c>
      <c r="F6" s="42">
        <v>1.0</v>
      </c>
      <c r="G6" s="42">
        <v>2.0</v>
      </c>
      <c r="H6" s="42">
        <v>2.0</v>
      </c>
      <c r="I6" s="42">
        <v>10.0</v>
      </c>
      <c r="J6" s="42">
        <v>2.0</v>
      </c>
      <c r="K6" s="42" t="s">
        <v>314</v>
      </c>
    </row>
    <row r="7">
      <c r="A7" s="42" t="s">
        <v>192</v>
      </c>
      <c r="B7" s="42" t="s">
        <v>3</v>
      </c>
      <c r="C7" s="42">
        <v>60.0</v>
      </c>
      <c r="D7" s="42">
        <v>5.0</v>
      </c>
      <c r="E7" s="43">
        <f t="shared" si="1"/>
        <v>5</v>
      </c>
      <c r="F7" s="42">
        <v>1.0</v>
      </c>
      <c r="G7" s="42">
        <v>2.0</v>
      </c>
      <c r="H7" s="42">
        <v>2.0</v>
      </c>
      <c r="I7" s="42">
        <v>10.0</v>
      </c>
      <c r="J7" s="42">
        <v>2.0</v>
      </c>
      <c r="K7" s="42" t="s">
        <v>315</v>
      </c>
    </row>
    <row r="8">
      <c r="A8" s="42" t="s">
        <v>220</v>
      </c>
      <c r="B8" s="42" t="s">
        <v>3</v>
      </c>
      <c r="C8" s="42">
        <v>60.0</v>
      </c>
      <c r="D8" s="42">
        <v>5.0</v>
      </c>
      <c r="E8" s="43">
        <f>+6</f>
        <v>6</v>
      </c>
      <c r="F8" s="42">
        <v>1.0</v>
      </c>
      <c r="G8" s="43"/>
      <c r="H8" s="42">
        <v>1.0</v>
      </c>
      <c r="I8" s="42">
        <v>4.0</v>
      </c>
      <c r="J8" s="42">
        <v>4.0</v>
      </c>
      <c r="K8" s="43"/>
    </row>
    <row r="9">
      <c r="A9" s="42" t="s">
        <v>194</v>
      </c>
      <c r="B9" s="42" t="s">
        <v>3</v>
      </c>
      <c r="C9" s="42">
        <v>60.0</v>
      </c>
      <c r="D9" s="42">
        <v>5.0</v>
      </c>
      <c r="E9" s="43">
        <f>+10</f>
        <v>10</v>
      </c>
      <c r="F9" s="42">
        <v>2.0</v>
      </c>
      <c r="G9" s="42" t="s">
        <v>316</v>
      </c>
      <c r="H9" s="42">
        <v>2.0</v>
      </c>
      <c r="I9" s="42">
        <v>6.0</v>
      </c>
      <c r="J9" s="42">
        <v>4.0</v>
      </c>
      <c r="K9" s="42" t="s">
        <v>317</v>
      </c>
    </row>
    <row r="10">
      <c r="A10" s="42" t="s">
        <v>224</v>
      </c>
      <c r="B10" s="42" t="s">
        <v>3</v>
      </c>
      <c r="C10" s="42">
        <v>80.0</v>
      </c>
      <c r="D10" s="42">
        <v>5.0</v>
      </c>
      <c r="E10" s="43">
        <f>+8</f>
        <v>8</v>
      </c>
      <c r="F10" s="42">
        <v>2.0</v>
      </c>
      <c r="G10" s="42">
        <v>1.0</v>
      </c>
      <c r="H10" s="42">
        <v>2.0</v>
      </c>
      <c r="I10" s="42">
        <v>3.0</v>
      </c>
      <c r="J10" s="42">
        <v>2.0</v>
      </c>
      <c r="K10" s="42" t="s">
        <v>318</v>
      </c>
    </row>
    <row r="11">
      <c r="A11" s="42" t="s">
        <v>319</v>
      </c>
      <c r="B11" s="42" t="s">
        <v>243</v>
      </c>
      <c r="C11" s="42">
        <v>40.0</v>
      </c>
      <c r="D11" s="42">
        <v>5.0</v>
      </c>
      <c r="E11" s="43">
        <f>+9</f>
        <v>9</v>
      </c>
      <c r="F11" s="42">
        <v>2.0</v>
      </c>
      <c r="G11" s="42">
        <v>1.0</v>
      </c>
      <c r="H11" s="42">
        <v>2.0</v>
      </c>
      <c r="I11" s="42">
        <v>1.0</v>
      </c>
      <c r="J11" s="42">
        <v>4.0</v>
      </c>
      <c r="K11" s="42" t="s">
        <v>320</v>
      </c>
    </row>
    <row r="12">
      <c r="A12" s="42" t="s">
        <v>321</v>
      </c>
      <c r="B12" s="42" t="s">
        <v>243</v>
      </c>
      <c r="C12" s="42">
        <v>20.0</v>
      </c>
      <c r="D12" s="42">
        <v>5.0</v>
      </c>
      <c r="E12" s="43">
        <f>+4</f>
        <v>4</v>
      </c>
      <c r="F12" s="42">
        <v>1.0</v>
      </c>
      <c r="G12" s="43"/>
      <c r="H12" s="42">
        <v>1.0</v>
      </c>
      <c r="I12" s="42">
        <v>0.0</v>
      </c>
      <c r="J12" s="42">
        <v>10.0</v>
      </c>
      <c r="K12" s="42" t="s">
        <v>322</v>
      </c>
    </row>
    <row r="13">
      <c r="A13" s="42" t="s">
        <v>196</v>
      </c>
      <c r="B13" s="42" t="s">
        <v>243</v>
      </c>
      <c r="C13" s="42">
        <v>60.0</v>
      </c>
      <c r="D13" s="42">
        <v>5.0</v>
      </c>
      <c r="E13" s="43">
        <f t="shared" ref="E13:E15" si="2">+10</f>
        <v>10</v>
      </c>
      <c r="F13" s="42">
        <v>2.0</v>
      </c>
      <c r="G13" s="43"/>
      <c r="H13" s="42">
        <v>1.0</v>
      </c>
      <c r="I13" s="42">
        <v>1.0</v>
      </c>
      <c r="J13" s="42">
        <v>10.0</v>
      </c>
      <c r="K13" s="43"/>
    </row>
    <row r="14">
      <c r="A14" s="42" t="s">
        <v>200</v>
      </c>
      <c r="B14" s="42" t="s">
        <v>243</v>
      </c>
      <c r="C14" s="42">
        <v>60.0</v>
      </c>
      <c r="D14" s="42">
        <v>5.0</v>
      </c>
      <c r="E14" s="43">
        <f t="shared" si="2"/>
        <v>10</v>
      </c>
      <c r="F14" s="42">
        <v>2.0</v>
      </c>
      <c r="G14" s="43"/>
      <c r="H14" s="42">
        <v>1.0</v>
      </c>
      <c r="I14" s="42">
        <v>1.0</v>
      </c>
      <c r="J14" s="42">
        <v>20.0</v>
      </c>
      <c r="K14" s="42" t="s">
        <v>323</v>
      </c>
    </row>
    <row r="15">
      <c r="A15" s="42" t="s">
        <v>204</v>
      </c>
      <c r="B15" s="42" t="s">
        <v>243</v>
      </c>
      <c r="C15" s="42">
        <v>60.0</v>
      </c>
      <c r="D15" s="42">
        <v>5.0</v>
      </c>
      <c r="E15" s="43">
        <f t="shared" si="2"/>
        <v>10</v>
      </c>
      <c r="F15" s="42">
        <v>2.0</v>
      </c>
      <c r="G15" s="43"/>
      <c r="H15" s="42">
        <v>1.0</v>
      </c>
      <c r="I15" s="42">
        <v>1.0</v>
      </c>
      <c r="J15" s="42">
        <v>20.0</v>
      </c>
      <c r="K15" s="42" t="s">
        <v>324</v>
      </c>
    </row>
    <row r="16">
      <c r="A16" s="42" t="s">
        <v>325</v>
      </c>
      <c r="B16" s="42" t="s">
        <v>243</v>
      </c>
      <c r="C16" s="42">
        <v>60.0</v>
      </c>
      <c r="D16" s="42">
        <v>5.0</v>
      </c>
      <c r="E16" s="43">
        <f>+5</f>
        <v>5</v>
      </c>
      <c r="F16" s="42">
        <v>1.0</v>
      </c>
      <c r="G16" s="42">
        <v>1.0</v>
      </c>
      <c r="H16" s="42">
        <v>1.0</v>
      </c>
      <c r="I16" s="42">
        <v>1.0</v>
      </c>
      <c r="J16" s="42">
        <v>6.0</v>
      </c>
      <c r="K16" s="42" t="s">
        <v>326</v>
      </c>
    </row>
    <row r="17">
      <c r="A17" s="42" t="s">
        <v>327</v>
      </c>
      <c r="B17" s="42" t="s">
        <v>328</v>
      </c>
      <c r="C17" s="42">
        <v>50.0</v>
      </c>
      <c r="D17" s="42">
        <v>5.0</v>
      </c>
      <c r="E17" s="43">
        <f>+8</f>
        <v>8</v>
      </c>
      <c r="F17" s="42">
        <v>2.0</v>
      </c>
      <c r="G17" s="42">
        <v>1.0</v>
      </c>
      <c r="H17" s="42">
        <v>2.0</v>
      </c>
      <c r="I17" s="42">
        <v>2.0</v>
      </c>
      <c r="J17" s="42">
        <v>2.0</v>
      </c>
      <c r="K17" s="42" t="s">
        <v>329</v>
      </c>
    </row>
    <row r="18">
      <c r="A18" s="42" t="s">
        <v>206</v>
      </c>
      <c r="B18" s="42" t="s">
        <v>328</v>
      </c>
      <c r="C18" s="42">
        <v>60.0</v>
      </c>
      <c r="D18" s="42">
        <v>5.0</v>
      </c>
      <c r="E18" s="43">
        <f>+5</f>
        <v>5</v>
      </c>
      <c r="F18" s="42">
        <v>1.0</v>
      </c>
      <c r="G18" s="42">
        <v>1.0</v>
      </c>
      <c r="H18" s="42">
        <v>1.0</v>
      </c>
      <c r="I18" s="42">
        <v>1.0</v>
      </c>
      <c r="J18" s="42">
        <v>4.0</v>
      </c>
      <c r="K18" s="42" t="s">
        <v>330</v>
      </c>
    </row>
    <row r="19">
      <c r="A19" s="42" t="s">
        <v>208</v>
      </c>
      <c r="B19" s="42" t="s">
        <v>328</v>
      </c>
      <c r="C19" s="42">
        <v>60.0</v>
      </c>
      <c r="D19" s="42">
        <v>5.0</v>
      </c>
      <c r="E19" s="43">
        <f t="shared" ref="E19:E20" si="3">+8</f>
        <v>8</v>
      </c>
      <c r="F19" s="42">
        <v>2.0</v>
      </c>
      <c r="G19" s="43"/>
      <c r="H19" s="42">
        <v>1.0</v>
      </c>
      <c r="I19" s="42">
        <v>2.0</v>
      </c>
      <c r="J19" s="42">
        <v>4.0</v>
      </c>
      <c r="K19" s="42" t="s">
        <v>331</v>
      </c>
    </row>
    <row r="20">
      <c r="A20" s="42" t="s">
        <v>210</v>
      </c>
      <c r="B20" s="42" t="s">
        <v>328</v>
      </c>
      <c r="C20" s="42">
        <v>60.0</v>
      </c>
      <c r="D20" s="42">
        <v>5.0</v>
      </c>
      <c r="E20" s="43">
        <f t="shared" si="3"/>
        <v>8</v>
      </c>
      <c r="F20" s="42">
        <v>2.0</v>
      </c>
      <c r="G20" s="42">
        <v>1.0</v>
      </c>
      <c r="H20" s="42">
        <v>2.0</v>
      </c>
      <c r="I20" s="42">
        <v>2.0</v>
      </c>
      <c r="J20" s="42">
        <v>4.0</v>
      </c>
      <c r="K20" s="42" t="s">
        <v>332</v>
      </c>
    </row>
    <row r="21">
      <c r="A21" s="42" t="s">
        <v>212</v>
      </c>
      <c r="B21" s="42" t="s">
        <v>328</v>
      </c>
      <c r="C21" s="42">
        <v>60.0</v>
      </c>
      <c r="D21" s="42">
        <v>5.0</v>
      </c>
      <c r="E21" s="43">
        <f t="shared" ref="E21:E24" si="4">+10</f>
        <v>10</v>
      </c>
      <c r="F21" s="42">
        <v>2.0</v>
      </c>
      <c r="G21" s="43"/>
      <c r="H21" s="42">
        <v>1.0</v>
      </c>
      <c r="I21" s="42">
        <v>2.0</v>
      </c>
      <c r="J21" s="42">
        <v>1.0</v>
      </c>
      <c r="K21" s="42" t="s">
        <v>333</v>
      </c>
    </row>
    <row r="22">
      <c r="A22" s="42" t="s">
        <v>216</v>
      </c>
      <c r="B22" s="42" t="s">
        <v>328</v>
      </c>
      <c r="C22" s="42">
        <v>40.0</v>
      </c>
      <c r="D22" s="42">
        <v>5.0</v>
      </c>
      <c r="E22" s="43">
        <f t="shared" si="4"/>
        <v>10</v>
      </c>
      <c r="F22" s="42">
        <v>2.0</v>
      </c>
      <c r="G22" s="43"/>
      <c r="H22" s="42">
        <v>2.0</v>
      </c>
      <c r="I22" s="42">
        <v>6.0</v>
      </c>
      <c r="J22" s="42">
        <v>1.0</v>
      </c>
      <c r="K22" s="42" t="s">
        <v>334</v>
      </c>
    </row>
    <row r="23">
      <c r="A23" s="42" t="s">
        <v>335</v>
      </c>
      <c r="B23" s="42" t="s">
        <v>328</v>
      </c>
      <c r="C23" s="42">
        <v>60.0</v>
      </c>
      <c r="D23" s="42">
        <v>5.0</v>
      </c>
      <c r="E23" s="43">
        <f t="shared" si="4"/>
        <v>10</v>
      </c>
      <c r="F23" s="42">
        <v>2.0</v>
      </c>
      <c r="G23" s="43"/>
      <c r="H23" s="42">
        <v>2.0</v>
      </c>
      <c r="I23" s="42">
        <v>3.0</v>
      </c>
      <c r="J23" s="42">
        <v>5.0</v>
      </c>
      <c r="K23" s="43"/>
    </row>
    <row r="24">
      <c r="A24" s="42" t="s">
        <v>218</v>
      </c>
      <c r="B24" s="42" t="s">
        <v>328</v>
      </c>
      <c r="C24" s="42">
        <v>60.0</v>
      </c>
      <c r="D24" s="42">
        <v>5.0</v>
      </c>
      <c r="E24" s="43">
        <f t="shared" si="4"/>
        <v>10</v>
      </c>
      <c r="F24" s="42">
        <v>2.0</v>
      </c>
      <c r="G24" s="43"/>
      <c r="H24" s="42">
        <v>2.0</v>
      </c>
      <c r="I24" s="42">
        <v>3.0</v>
      </c>
      <c r="J24" s="42">
        <v>5.0</v>
      </c>
      <c r="K24" s="43"/>
    </row>
    <row r="25">
      <c r="A25" s="42" t="s">
        <v>336</v>
      </c>
      <c r="B25" s="42" t="s">
        <v>3</v>
      </c>
      <c r="C25" s="42">
        <v>10.0</v>
      </c>
      <c r="D25" s="42">
        <v>3.0</v>
      </c>
      <c r="E25" s="43">
        <f t="shared" ref="E25:E26" si="5">+4</f>
        <v>4</v>
      </c>
      <c r="F25" s="42">
        <v>2.0</v>
      </c>
      <c r="G25" s="43"/>
      <c r="H25" s="42">
        <v>2.0</v>
      </c>
      <c r="I25" s="42">
        <v>2.0</v>
      </c>
      <c r="J25" s="42">
        <v>1.0</v>
      </c>
      <c r="K25" s="43"/>
    </row>
    <row r="26">
      <c r="A26" s="42" t="s">
        <v>337</v>
      </c>
      <c r="B26" s="42" t="s">
        <v>243</v>
      </c>
      <c r="C26" s="42">
        <v>10.0</v>
      </c>
      <c r="D26" s="42">
        <v>3.0</v>
      </c>
      <c r="E26" s="43">
        <f t="shared" si="5"/>
        <v>4</v>
      </c>
      <c r="F26" s="42">
        <v>2.0</v>
      </c>
      <c r="G26" s="43"/>
      <c r="H26" s="42">
        <v>2.0</v>
      </c>
      <c r="I26" s="42">
        <v>1.0</v>
      </c>
      <c r="J26" s="42">
        <v>2.0</v>
      </c>
      <c r="K26" s="43"/>
    </row>
  </sheetData>
  <mergeCells count="8">
    <mergeCell ref="A1:A2"/>
    <mergeCell ref="B1:B2"/>
    <mergeCell ref="C1:D1"/>
    <mergeCell ref="F1:F2"/>
    <mergeCell ref="G1:G2"/>
    <mergeCell ref="H1:H2"/>
    <mergeCell ref="I1:J1"/>
    <mergeCell ref="K1:K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4" max="4" width="5.88"/>
  </cols>
  <sheetData>
    <row r="1">
      <c r="A1" s="44" t="s">
        <v>338</v>
      </c>
      <c r="B1" s="44" t="s">
        <v>339</v>
      </c>
      <c r="C1" s="44" t="s">
        <v>340</v>
      </c>
      <c r="D1" s="45" t="s">
        <v>306</v>
      </c>
    </row>
    <row r="2">
      <c r="A2" s="16" t="s">
        <v>58</v>
      </c>
      <c r="B2" s="17">
        <f>COUNTIF(Viajeros!$C$3:$D$102,A2)</f>
        <v>1</v>
      </c>
      <c r="C2" s="17">
        <f>COUNTIF(Viajeros!$J$3:$AD$102,A2)</f>
        <v>4</v>
      </c>
      <c r="D2" s="35">
        <v>1.0</v>
      </c>
    </row>
    <row r="3">
      <c r="A3" s="16" t="s">
        <v>106</v>
      </c>
      <c r="B3" s="17">
        <f>COUNTIF(Viajeros!$C$3:$D$102,A3)</f>
        <v>4</v>
      </c>
      <c r="C3" s="17">
        <f>COUNTIF(Viajeros!$J$3:$AD$102,A3)</f>
        <v>7</v>
      </c>
      <c r="D3" s="46"/>
    </row>
    <row r="4">
      <c r="A4" s="16" t="s">
        <v>55</v>
      </c>
      <c r="B4" s="17">
        <f>COUNTIF(Viajeros!$C$3:$D$102,A4)</f>
        <v>0</v>
      </c>
      <c r="C4" s="17">
        <f>COUNTIF(Viajeros!$J$3:$AD$102,A4)</f>
        <v>3</v>
      </c>
      <c r="D4" s="46"/>
    </row>
    <row r="5">
      <c r="A5" s="16" t="s">
        <v>39</v>
      </c>
      <c r="B5" s="17">
        <f>COUNTIF(Viajeros!$C$3:$D$102,A5)</f>
        <v>3</v>
      </c>
      <c r="C5" s="17">
        <f>COUNTIF(Viajeros!$J$3:$AD$102,A5)</f>
        <v>6</v>
      </c>
      <c r="D5" s="46"/>
    </row>
    <row r="6">
      <c r="A6" s="16" t="s">
        <v>341</v>
      </c>
      <c r="B6" s="17">
        <f>COUNTIF(Viajeros!$C$3:$D$102,A6)</f>
        <v>0</v>
      </c>
      <c r="C6" s="17">
        <f>COUNTIF(Viajeros!$J$3:$AD$102,A6)</f>
        <v>0</v>
      </c>
      <c r="D6" s="46"/>
    </row>
    <row r="7">
      <c r="A7" s="16" t="s">
        <v>45</v>
      </c>
      <c r="B7" s="17">
        <f>COUNTIF(Viajeros!$C$3:$D$102,A7)</f>
        <v>3</v>
      </c>
      <c r="C7" s="17">
        <f>COUNTIF(Viajeros!$J$3:$AD$102,A7)</f>
        <v>18</v>
      </c>
      <c r="D7" s="46"/>
    </row>
    <row r="8">
      <c r="A8" s="16" t="s">
        <v>28</v>
      </c>
      <c r="B8" s="17">
        <f>COUNTIF(Viajeros!$C$3:$D$102,A8)</f>
        <v>4</v>
      </c>
      <c r="C8" s="17">
        <f>COUNTIF(Viajeros!$J$3:$AD$102,A8)</f>
        <v>7</v>
      </c>
      <c r="D8" s="46"/>
    </row>
    <row r="9">
      <c r="A9" s="16" t="s">
        <v>41</v>
      </c>
      <c r="B9" s="17">
        <f>COUNTIF(Viajeros!$C$3:$D$102,A9)</f>
        <v>0</v>
      </c>
      <c r="C9" s="17">
        <f>COUNTIF(Viajeros!$J$3:$AD$102,A9)</f>
        <v>6</v>
      </c>
      <c r="D9" s="46"/>
    </row>
    <row r="10">
      <c r="A10" s="16" t="s">
        <v>42</v>
      </c>
      <c r="B10" s="17">
        <f>COUNTIF(Viajeros!$C$3:$D$102,A10)</f>
        <v>24</v>
      </c>
      <c r="C10" s="17">
        <f>COUNTIF(Viajeros!$J$3:$AD$102,A10)</f>
        <v>27</v>
      </c>
      <c r="D10" s="46"/>
    </row>
    <row r="11">
      <c r="A11" s="16" t="s">
        <v>56</v>
      </c>
      <c r="B11" s="17">
        <f>COUNTIF(Viajeros!$C$3:$D$102,A11)</f>
        <v>3</v>
      </c>
      <c r="C11" s="17">
        <f>COUNTIF(Viajeros!$J$3:$AD$102,A11)</f>
        <v>4</v>
      </c>
      <c r="D11" s="46"/>
    </row>
    <row r="12">
      <c r="A12" s="16" t="s">
        <v>35</v>
      </c>
      <c r="B12" s="17">
        <f>COUNTIF(Viajeros!$C$3:$D$102,A12)</f>
        <v>3</v>
      </c>
      <c r="C12" s="17">
        <f>COUNTIF(Viajeros!$J$3:$AD$102,A12)</f>
        <v>5</v>
      </c>
      <c r="D12" s="46"/>
    </row>
    <row r="13">
      <c r="A13" s="16" t="s">
        <v>43</v>
      </c>
      <c r="B13" s="17">
        <f>COUNTIF(Viajeros!$C$3:$D$102,A13)</f>
        <v>0</v>
      </c>
      <c r="C13" s="17">
        <f>COUNTIF(Viajeros!$J$3:$AD$102,A13)</f>
        <v>6</v>
      </c>
      <c r="D13" s="46"/>
    </row>
    <row r="14">
      <c r="A14" s="16" t="s">
        <v>53</v>
      </c>
      <c r="B14" s="17">
        <f>COUNTIF(Viajeros!$C$3:$D$102,A14)</f>
        <v>1</v>
      </c>
      <c r="C14" s="17">
        <f>COUNTIF(Viajeros!$J$3:$AD$102,A14)</f>
        <v>6</v>
      </c>
      <c r="D14" s="46"/>
    </row>
    <row r="15">
      <c r="A15" s="16" t="s">
        <v>52</v>
      </c>
      <c r="B15" s="17">
        <f>COUNTIF(Viajeros!$C$3:$D$102,A15)</f>
        <v>0</v>
      </c>
      <c r="C15" s="17">
        <f>COUNTIF(Viajeros!$J$3:$AD$102,A15)</f>
        <v>5</v>
      </c>
      <c r="D15" s="46"/>
    </row>
    <row r="16">
      <c r="A16" s="16" t="s">
        <v>51</v>
      </c>
      <c r="B16" s="17">
        <f>COUNTIF(Viajeros!$C$3:$D$102,A16)</f>
        <v>1</v>
      </c>
      <c r="C16" s="17">
        <f>COUNTIF(Viajeros!$J$3:$AD$102,A16)</f>
        <v>9</v>
      </c>
      <c r="D16" s="46"/>
    </row>
    <row r="17">
      <c r="A17" s="16" t="s">
        <v>38</v>
      </c>
      <c r="B17" s="17">
        <f>COUNTIF(Viajeros!$C$3:$D$102,A17)</f>
        <v>2</v>
      </c>
      <c r="C17" s="17">
        <f>COUNTIF(Viajeros!$J$3:$AD$102,A17)</f>
        <v>2</v>
      </c>
      <c r="D17" s="46"/>
    </row>
    <row r="18">
      <c r="A18" s="16" t="s">
        <v>342</v>
      </c>
      <c r="B18" s="17">
        <f>COUNTIF(Viajeros!$C$3:$D$102,A18)</f>
        <v>0</v>
      </c>
      <c r="C18" s="17">
        <f>COUNTIF(Viajeros!$J$3:$AD$102,A18)</f>
        <v>0</v>
      </c>
      <c r="D18" s="46"/>
    </row>
    <row r="19">
      <c r="A19" s="16" t="s">
        <v>75</v>
      </c>
      <c r="B19" s="17">
        <f>COUNTIF(Viajeros!$C$3:$D$102,A19)</f>
        <v>0</v>
      </c>
      <c r="C19" s="17">
        <f>COUNTIF(Viajeros!$J$3:$AD$102,A19)</f>
        <v>2</v>
      </c>
      <c r="D19" s="46"/>
    </row>
    <row r="20">
      <c r="A20" s="16" t="s">
        <v>32</v>
      </c>
      <c r="B20" s="17">
        <f>COUNTIF(Viajeros!$C$3:$D$102,A20)</f>
        <v>5</v>
      </c>
      <c r="C20" s="17">
        <f>COUNTIF(Viajeros!$J$3:$AD$102,A20)</f>
        <v>25</v>
      </c>
      <c r="D20" s="46"/>
    </row>
    <row r="21">
      <c r="A21" s="16" t="s">
        <v>29</v>
      </c>
      <c r="B21" s="17">
        <f>COUNTIF(Viajeros!$C$3:$D$102,A21)</f>
        <v>2</v>
      </c>
      <c r="C21" s="17">
        <f>COUNTIF(Viajeros!$J$3:$AD$102,A21)</f>
        <v>24</v>
      </c>
      <c r="D21" s="46"/>
    </row>
    <row r="22">
      <c r="A22" s="16" t="s">
        <v>34</v>
      </c>
      <c r="B22" s="17">
        <f>COUNTIF(Viajeros!$C$3:$D$102,A22)</f>
        <v>2</v>
      </c>
      <c r="C22" s="17">
        <f>COUNTIF(Viajeros!$J$3:$AD$102,A22)</f>
        <v>4</v>
      </c>
      <c r="D22" s="46"/>
    </row>
    <row r="23">
      <c r="A23" s="16" t="s">
        <v>343</v>
      </c>
      <c r="B23" s="17">
        <f>COUNTIF(Viajeros!$C$3:$D$102,A23)</f>
        <v>0</v>
      </c>
      <c r="C23" s="17">
        <f>COUNTIF(Viajeros!$J$3:$AD$102,A23)</f>
        <v>0</v>
      </c>
      <c r="D23" s="35">
        <v>4.0</v>
      </c>
    </row>
    <row r="24">
      <c r="A24" s="16" t="s">
        <v>77</v>
      </c>
      <c r="B24" s="17">
        <f>COUNTIF(Viajeros!$C$3:$D$102,A24)</f>
        <v>0</v>
      </c>
      <c r="C24" s="17">
        <f>COUNTIF(Viajeros!$J$3:$AD$102,A24)</f>
        <v>3</v>
      </c>
      <c r="D24" s="46"/>
    </row>
    <row r="25">
      <c r="A25" s="16" t="s">
        <v>49</v>
      </c>
      <c r="B25" s="17">
        <f>COUNTIF(Viajeros!$C$3:$D$102,A25)</f>
        <v>1</v>
      </c>
      <c r="C25" s="17">
        <f>COUNTIF(Viajeros!$J$3:$AD$102,A25)</f>
        <v>10</v>
      </c>
      <c r="D25" s="46"/>
    </row>
    <row r="26">
      <c r="A26" s="16" t="s">
        <v>344</v>
      </c>
      <c r="B26" s="17">
        <f>COUNTIF(Viajeros!$C$3:$D$102,A26)</f>
        <v>0</v>
      </c>
      <c r="C26" s="17">
        <f>COUNTIF(Viajeros!$J$3:$AD$102,A26)</f>
        <v>0</v>
      </c>
      <c r="D26" s="35">
        <v>1.0</v>
      </c>
    </row>
    <row r="27">
      <c r="A27" s="16" t="s">
        <v>48</v>
      </c>
      <c r="B27" s="17">
        <f>COUNTIF(Viajeros!$C$3:$D$102,A27)</f>
        <v>1</v>
      </c>
      <c r="C27" s="17">
        <f>COUNTIF(Viajeros!$J$3:$AD$102,A27)</f>
        <v>6</v>
      </c>
      <c r="D27" s="46"/>
    </row>
    <row r="28">
      <c r="A28" s="16" t="s">
        <v>30</v>
      </c>
      <c r="B28" s="17">
        <f>COUNTIF(Viajeros!$C$3:$D$102,A28)</f>
        <v>19</v>
      </c>
      <c r="C28" s="17">
        <f>COUNTIF(Viajeros!$J$3:$AD$102,A28)</f>
        <v>106</v>
      </c>
      <c r="D28" s="46"/>
    </row>
    <row r="29">
      <c r="A29" s="16" t="s">
        <v>345</v>
      </c>
      <c r="B29" s="17">
        <f>COUNTIF(Viajeros!$C$3:$D$102,A29)</f>
        <v>0</v>
      </c>
      <c r="C29" s="17">
        <f>COUNTIF(Viajeros!$J$3:$AD$102,A29)</f>
        <v>0</v>
      </c>
      <c r="D29" s="46"/>
    </row>
    <row r="30">
      <c r="A30" s="16" t="s">
        <v>76</v>
      </c>
      <c r="B30" s="17">
        <f>COUNTIF(Viajeros!$C$3:$D$102,A30)</f>
        <v>0</v>
      </c>
      <c r="C30" s="17">
        <f>COUNTIF(Viajeros!$J$3:$AD$102,A30)</f>
        <v>2</v>
      </c>
      <c r="D30" s="35">
        <v>2.0</v>
      </c>
    </row>
    <row r="31">
      <c r="A31" s="16" t="s">
        <v>59</v>
      </c>
      <c r="B31" s="17">
        <f>COUNTIF(Viajeros!$C$3:$D$102,A31)</f>
        <v>1</v>
      </c>
      <c r="C31" s="17">
        <f>COUNTIF(Viajeros!$J$3:$AD$102,A31)</f>
        <v>5</v>
      </c>
      <c r="D31" s="46"/>
    </row>
    <row r="32">
      <c r="A32" s="16" t="s">
        <v>98</v>
      </c>
      <c r="B32" s="17">
        <f>COUNTIF(Viajeros!$C$3:$D$102,A32)</f>
        <v>2</v>
      </c>
      <c r="C32" s="17">
        <f>COUNTIF(Viajeros!$J$3:$AD$102,A32)</f>
        <v>3</v>
      </c>
      <c r="D32" s="46"/>
    </row>
    <row r="33">
      <c r="A33" s="16" t="s">
        <v>111</v>
      </c>
      <c r="B33" s="17">
        <f>COUNTIF(Viajeros!$C$3:$D$102,A33)</f>
        <v>2</v>
      </c>
      <c r="C33" s="17">
        <f>COUNTIF(Viajeros!$J$3:$AD$102,A33)</f>
        <v>2</v>
      </c>
      <c r="D33" s="46"/>
    </row>
    <row r="34">
      <c r="A34" s="16" t="s">
        <v>5</v>
      </c>
      <c r="B34" s="17">
        <f>COUNTIF(Viajeros!$C$3:$D$102,A34)</f>
        <v>0</v>
      </c>
      <c r="C34" s="17">
        <f>COUNTIF(Viajeros!$J$3:$AD$102,A34)</f>
        <v>0</v>
      </c>
      <c r="D34" s="46"/>
    </row>
    <row r="35">
      <c r="A35" s="16" t="s">
        <v>100</v>
      </c>
      <c r="B35" s="17">
        <f>COUNTIF(Viajeros!$C$3:$D$102,A35)</f>
        <v>2</v>
      </c>
      <c r="C35" s="17">
        <f>COUNTIF(Viajeros!$J$3:$AD$102,A35)</f>
        <v>2</v>
      </c>
      <c r="D35" s="46"/>
    </row>
    <row r="36">
      <c r="A36" s="16" t="s">
        <v>46</v>
      </c>
      <c r="B36" s="17">
        <f>COUNTIF(Viajeros!$C$3:$D$102,A36)</f>
        <v>0</v>
      </c>
      <c r="C36" s="17">
        <f>COUNTIF(Viajeros!$J$3:$AD$102,A36)</f>
        <v>6</v>
      </c>
      <c r="D36" s="46"/>
    </row>
    <row r="37">
      <c r="A37" s="16" t="s">
        <v>47</v>
      </c>
      <c r="B37" s="17">
        <f>COUNTIF(Viajeros!$C$3:$D$102,A37)</f>
        <v>0</v>
      </c>
      <c r="C37" s="17">
        <f>COUNTIF(Viajeros!$J$3:$AD$102,A37)</f>
        <v>7</v>
      </c>
      <c r="D37" s="46"/>
    </row>
    <row r="38">
      <c r="A38" s="16" t="s">
        <v>146</v>
      </c>
      <c r="B38" s="17">
        <f>COUNTIF(Viajeros!$C$3:$D$102,A38)</f>
        <v>0</v>
      </c>
      <c r="C38" s="17">
        <f>COUNTIF(Viajeros!$J$3:$AD$102,A38)</f>
        <v>1</v>
      </c>
      <c r="D38" s="46"/>
    </row>
    <row r="39">
      <c r="A39" s="16" t="s">
        <v>149</v>
      </c>
      <c r="B39" s="17">
        <f>COUNTIF(Viajeros!$C$3:$D$102,A39)</f>
        <v>0</v>
      </c>
      <c r="C39" s="17">
        <f>COUNTIF(Viajeros!$J$3:$AD$102,A39)</f>
        <v>1</v>
      </c>
      <c r="D39" s="4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7</v>
      </c>
      <c r="B1" s="33" t="s">
        <v>346</v>
      </c>
      <c r="C1" s="33">
        <v>1.0</v>
      </c>
      <c r="D1" s="33">
        <f t="shared" ref="D1:Q1" si="1">C1+1</f>
        <v>2</v>
      </c>
      <c r="E1" s="33">
        <f t="shared" si="1"/>
        <v>3</v>
      </c>
      <c r="F1" s="33">
        <f t="shared" si="1"/>
        <v>4</v>
      </c>
      <c r="G1" s="33">
        <f t="shared" si="1"/>
        <v>5</v>
      </c>
      <c r="H1" s="33">
        <f t="shared" si="1"/>
        <v>6</v>
      </c>
      <c r="I1" s="33">
        <f t="shared" si="1"/>
        <v>7</v>
      </c>
      <c r="J1" s="33">
        <f t="shared" si="1"/>
        <v>8</v>
      </c>
      <c r="K1" s="33">
        <f t="shared" si="1"/>
        <v>9</v>
      </c>
      <c r="L1" s="33">
        <f t="shared" si="1"/>
        <v>10</v>
      </c>
      <c r="M1" s="33">
        <f t="shared" si="1"/>
        <v>11</v>
      </c>
      <c r="N1" s="33">
        <f t="shared" si="1"/>
        <v>12</v>
      </c>
      <c r="O1" s="33">
        <f t="shared" si="1"/>
        <v>13</v>
      </c>
      <c r="P1" s="33">
        <f t="shared" si="1"/>
        <v>14</v>
      </c>
      <c r="Q1" s="33">
        <f t="shared" si="1"/>
        <v>15</v>
      </c>
    </row>
    <row r="2">
      <c r="A2" s="9" t="str">
        <f>Caravana!A4</f>
        <v>Viajeros 1</v>
      </c>
      <c r="B2" s="9">
        <f t="shared" ref="B2:B32" si="2">SUM(C2:Q2)</f>
        <v>8</v>
      </c>
      <c r="C2" s="9">
        <f>IFERROR(VLOOKUP(Hospedaje!E2,Viajeros!$A$3:$F$102,6,FALSE),0)</f>
        <v>1</v>
      </c>
      <c r="D2" s="9">
        <f>IFERROR(VLOOKUP(Hospedaje!F2,Viajeros!$A$3:$F$102,6,FALSE),0)</f>
        <v>1</v>
      </c>
      <c r="E2" s="9">
        <f>IFERROR(VLOOKUP(Hospedaje!G2,Viajeros!$A$3:$F$102,6,FALSE),0)</f>
        <v>1</v>
      </c>
      <c r="F2" s="9">
        <f>IFERROR(VLOOKUP(Hospedaje!H2,Viajeros!$A$3:$F$102,6,FALSE),0)</f>
        <v>1</v>
      </c>
      <c r="G2" s="9">
        <f>IFERROR(VLOOKUP(Hospedaje!I2,Viajeros!$A$3:$F$102,6,FALSE),0)</f>
        <v>1</v>
      </c>
      <c r="H2" s="9">
        <f>IFERROR(VLOOKUP(Hospedaje!J2,Viajeros!$A$3:$F$102,6,FALSE),0)</f>
        <v>1</v>
      </c>
      <c r="I2" s="9">
        <f>IFERROR(VLOOKUP(Hospedaje!K2,Viajeros!$A$3:$F$102,6,FALSE),0)</f>
        <v>1</v>
      </c>
      <c r="J2" s="9">
        <f>IFERROR(VLOOKUP(Hospedaje!L2,Viajeros!$A$3:$F$102,6,FALSE),0)</f>
        <v>1</v>
      </c>
      <c r="K2" s="9">
        <f>IFERROR(VLOOKUP(Hospedaje!M2,Viajeros!$A$3:$F$102,6,FALSE),0)</f>
        <v>0</v>
      </c>
      <c r="L2" s="9">
        <f>IFERROR(VLOOKUP(Hospedaje!N2,Viajeros!$A$3:$F$102,6,FALSE),0)</f>
        <v>0</v>
      </c>
      <c r="M2" s="9">
        <f>IFERROR(VLOOKUP(Hospedaje!O2,Viajeros!$A$3:$F$102,6,FALSE),0)</f>
        <v>0</v>
      </c>
      <c r="N2" s="9">
        <f>IFERROR(VLOOKUP(Hospedaje!P2,Viajeros!$A$3:$F$102,6,FALSE),0)</f>
        <v>0</v>
      </c>
      <c r="O2" s="9">
        <f>IFERROR(VLOOKUP(Hospedaje!Q2,Viajeros!$A$3:$F$102,6,FALSE),0)</f>
        <v>0</v>
      </c>
      <c r="P2" s="9">
        <f>IFERROR(VLOOKUP(Hospedaje!R2,Viajeros!$A$3:$F$102,6,FALSE),0)</f>
        <v>0</v>
      </c>
      <c r="Q2" s="9">
        <f>IFERROR(VLOOKUP(Hospedaje!S2,Viajeros!$A$3:$F$102,6,FALSE),0)</f>
        <v>0</v>
      </c>
    </row>
    <row r="3">
      <c r="A3" s="9" t="str">
        <f>Caravana!A5</f>
        <v>Viajeros 2</v>
      </c>
      <c r="B3" s="9">
        <f t="shared" si="2"/>
        <v>7</v>
      </c>
      <c r="C3" s="9">
        <f>IFERROR(VLOOKUP(Hospedaje!E3,Viajeros!$A$3:$F$102,6,FALSE),0)</f>
        <v>1</v>
      </c>
      <c r="D3" s="9">
        <f>IFERROR(VLOOKUP(Hospedaje!F3,Viajeros!$A$3:$F$102,6,FALSE),0)</f>
        <v>1</v>
      </c>
      <c r="E3" s="9">
        <f>IFERROR(VLOOKUP(Hospedaje!G3,Viajeros!$A$3:$F$102,6,FALSE),0)</f>
        <v>1</v>
      </c>
      <c r="F3" s="9">
        <f>IFERROR(VLOOKUP(Hospedaje!H3,Viajeros!$A$3:$F$102,6,FALSE),0)</f>
        <v>1</v>
      </c>
      <c r="G3" s="9">
        <f>IFERROR(VLOOKUP(Hospedaje!I3,Viajeros!$A$3:$F$102,6,FALSE),0)</f>
        <v>1</v>
      </c>
      <c r="H3" s="9">
        <f>IFERROR(VLOOKUP(Hospedaje!J3,Viajeros!$A$3:$F$102,6,FALSE),0)</f>
        <v>1</v>
      </c>
      <c r="I3" s="9">
        <f>IFERROR(VLOOKUP(Hospedaje!K3,Viajeros!$A$3:$F$102,6,FALSE),0)</f>
        <v>1</v>
      </c>
      <c r="J3" s="9">
        <f>IFERROR(VLOOKUP(Hospedaje!L3,Viajeros!$A$3:$F$102,6,FALSE),0)</f>
        <v>0</v>
      </c>
      <c r="K3" s="9">
        <f>IFERROR(VLOOKUP(Hospedaje!M3,Viajeros!$A$3:$F$102,6,FALSE),0)</f>
        <v>0</v>
      </c>
      <c r="L3" s="9">
        <f>IFERROR(VLOOKUP(Hospedaje!N3,Viajeros!$A$3:$F$102,6,FALSE),0)</f>
        <v>0</v>
      </c>
      <c r="M3" s="9">
        <f>IFERROR(VLOOKUP(Hospedaje!O3,Viajeros!$A$3:$F$102,6,FALSE),0)</f>
        <v>0</v>
      </c>
      <c r="N3" s="9">
        <f>IFERROR(VLOOKUP(Hospedaje!P3,Viajeros!$A$3:$F$102,6,FALSE),0)</f>
        <v>0</v>
      </c>
      <c r="O3" s="9">
        <f>IFERROR(VLOOKUP(Hospedaje!Q3,Viajeros!$A$3:$F$102,6,FALSE),0)</f>
        <v>0</v>
      </c>
      <c r="P3" s="9">
        <f>IFERROR(VLOOKUP(Hospedaje!R3,Viajeros!$A$3:$F$102,6,FALSE),0)</f>
        <v>0</v>
      </c>
      <c r="Q3" s="9">
        <f>IFERROR(VLOOKUP(Hospedaje!S3,Viajeros!$A$3:$F$102,6,FALSE),0)</f>
        <v>0</v>
      </c>
    </row>
    <row r="4">
      <c r="A4" s="9" t="str">
        <f>Caravana!A6</f>
        <v>Viajeros 3</v>
      </c>
      <c r="B4" s="9">
        <f t="shared" si="2"/>
        <v>7</v>
      </c>
      <c r="C4" s="9">
        <f>IFERROR(VLOOKUP(Hospedaje!E4,Viajeros!$A$3:$F$102,6,FALSE),0)</f>
        <v>1</v>
      </c>
      <c r="D4" s="9">
        <f>IFERROR(VLOOKUP(Hospedaje!F4,Viajeros!$A$3:$F$102,6,FALSE),0)</f>
        <v>1</v>
      </c>
      <c r="E4" s="9">
        <f>IFERROR(VLOOKUP(Hospedaje!G4,Viajeros!$A$3:$F$102,6,FALSE),0)</f>
        <v>1</v>
      </c>
      <c r="F4" s="9">
        <f>IFERROR(VLOOKUP(Hospedaje!H4,Viajeros!$A$3:$F$102,6,FALSE),0)</f>
        <v>1</v>
      </c>
      <c r="G4" s="9">
        <f>IFERROR(VLOOKUP(Hospedaje!I4,Viajeros!$A$3:$F$102,6,FALSE),0)</f>
        <v>1</v>
      </c>
      <c r="H4" s="9">
        <f>IFERROR(VLOOKUP(Hospedaje!J4,Viajeros!$A$3:$F$102,6,FALSE),0)</f>
        <v>1</v>
      </c>
      <c r="I4" s="9">
        <f>IFERROR(VLOOKUP(Hospedaje!K4,Viajeros!$A$3:$F$102,6,FALSE),0)</f>
        <v>1</v>
      </c>
      <c r="J4" s="9">
        <f>IFERROR(VLOOKUP(Hospedaje!L4,Viajeros!$A$3:$F$102,6,FALSE),0)</f>
        <v>0</v>
      </c>
      <c r="K4" s="9">
        <f>IFERROR(VLOOKUP(Hospedaje!M4,Viajeros!$A$3:$F$102,6,FALSE),0)</f>
        <v>0</v>
      </c>
      <c r="L4" s="9">
        <f>IFERROR(VLOOKUP(Hospedaje!N4,Viajeros!$A$3:$F$102,6,FALSE),0)</f>
        <v>0</v>
      </c>
      <c r="M4" s="9">
        <f>IFERROR(VLOOKUP(Hospedaje!O4,Viajeros!$A$3:$F$102,6,FALSE),0)</f>
        <v>0</v>
      </c>
      <c r="N4" s="9">
        <f>IFERROR(VLOOKUP(Hospedaje!P4,Viajeros!$A$3:$F$102,6,FALSE),0)</f>
        <v>0</v>
      </c>
      <c r="O4" s="9">
        <f>IFERROR(VLOOKUP(Hospedaje!Q4,Viajeros!$A$3:$F$102,6,FALSE),0)</f>
        <v>0</v>
      </c>
      <c r="P4" s="9">
        <f>IFERROR(VLOOKUP(Hospedaje!R4,Viajeros!$A$3:$F$102,6,FALSE),0)</f>
        <v>0</v>
      </c>
      <c r="Q4" s="9">
        <f>IFERROR(VLOOKUP(Hospedaje!S4,Viajeros!$A$3:$F$102,6,FALSE),0)</f>
        <v>0</v>
      </c>
    </row>
    <row r="5">
      <c r="A5" s="9" t="str">
        <f>Caravana!A7</f>
        <v>Viajeros 4</v>
      </c>
      <c r="B5" s="9">
        <f t="shared" si="2"/>
        <v>7</v>
      </c>
      <c r="C5" s="9">
        <f>IFERROR(VLOOKUP(Hospedaje!E5,Viajeros!$A$3:$F$102,6,FALSE),0)</f>
        <v>1</v>
      </c>
      <c r="D5" s="9">
        <f>IFERROR(VLOOKUP(Hospedaje!F5,Viajeros!$A$3:$F$102,6,FALSE),0)</f>
        <v>1</v>
      </c>
      <c r="E5" s="9">
        <f>IFERROR(VLOOKUP(Hospedaje!G5,Viajeros!$A$3:$F$102,6,FALSE),0)</f>
        <v>1</v>
      </c>
      <c r="F5" s="9">
        <f>IFERROR(VLOOKUP(Hospedaje!H5,Viajeros!$A$3:$F$102,6,FALSE),0)</f>
        <v>1</v>
      </c>
      <c r="G5" s="9">
        <f>IFERROR(VLOOKUP(Hospedaje!I5,Viajeros!$A$3:$F$102,6,FALSE),0)</f>
        <v>1</v>
      </c>
      <c r="H5" s="9">
        <f>IFERROR(VLOOKUP(Hospedaje!J5,Viajeros!$A$3:$F$102,6,FALSE),0)</f>
        <v>1</v>
      </c>
      <c r="I5" s="9">
        <f>IFERROR(VLOOKUP(Hospedaje!K5,Viajeros!$A$3:$F$102,6,FALSE),0)</f>
        <v>1</v>
      </c>
      <c r="J5" s="9">
        <f>IFERROR(VLOOKUP(Hospedaje!L5,Viajeros!$A$3:$F$102,6,FALSE),0)</f>
        <v>0</v>
      </c>
      <c r="K5" s="9">
        <f>IFERROR(VLOOKUP(Hospedaje!M5,Viajeros!$A$3:$F$102,6,FALSE),0)</f>
        <v>0</v>
      </c>
      <c r="L5" s="9">
        <f>IFERROR(VLOOKUP(Hospedaje!N5,Viajeros!$A$3:$F$102,6,FALSE),0)</f>
        <v>0</v>
      </c>
      <c r="M5" s="9">
        <f>IFERROR(VLOOKUP(Hospedaje!O5,Viajeros!$A$3:$F$102,6,FALSE),0)</f>
        <v>0</v>
      </c>
      <c r="N5" s="9">
        <f>IFERROR(VLOOKUP(Hospedaje!P5,Viajeros!$A$3:$F$102,6,FALSE),0)</f>
        <v>0</v>
      </c>
      <c r="O5" s="9">
        <f>IFERROR(VLOOKUP(Hospedaje!Q5,Viajeros!$A$3:$F$102,6,FALSE),0)</f>
        <v>0</v>
      </c>
      <c r="P5" s="9">
        <f>IFERROR(VLOOKUP(Hospedaje!R5,Viajeros!$A$3:$F$102,6,FALSE),0)</f>
        <v>0</v>
      </c>
      <c r="Q5" s="9">
        <f>IFERROR(VLOOKUP(Hospedaje!S5,Viajeros!$A$3:$F$102,6,FALSE),0)</f>
        <v>0</v>
      </c>
    </row>
    <row r="6">
      <c r="A6" s="9" t="str">
        <f>Caravana!A8</f>
        <v>Viajeros 5</v>
      </c>
      <c r="B6" s="9">
        <f t="shared" si="2"/>
        <v>6</v>
      </c>
      <c r="C6" s="9">
        <f>IFERROR(VLOOKUP(Hospedaje!E6,Viajeros!$A$3:$F$102,6,FALSE),0)</f>
        <v>1</v>
      </c>
      <c r="D6" s="9">
        <f>IFERROR(VLOOKUP(Hospedaje!F6,Viajeros!$A$3:$F$102,6,FALSE),0)</f>
        <v>1</v>
      </c>
      <c r="E6" s="9">
        <f>IFERROR(VLOOKUP(Hospedaje!G6,Viajeros!$A$3:$F$102,6,FALSE),0)</f>
        <v>1</v>
      </c>
      <c r="F6" s="9">
        <f>IFERROR(VLOOKUP(Hospedaje!H6,Viajeros!$A$3:$F$102,6,FALSE),0)</f>
        <v>1</v>
      </c>
      <c r="G6" s="9">
        <f>IFERROR(VLOOKUP(Hospedaje!I6,Viajeros!$A$3:$F$102,6,FALSE),0)</f>
        <v>1</v>
      </c>
      <c r="H6" s="9">
        <f>IFERROR(VLOOKUP(Hospedaje!J6,Viajeros!$A$3:$F$102,6,FALSE),0)</f>
        <v>1</v>
      </c>
      <c r="I6" s="9">
        <f>IFERROR(VLOOKUP(Hospedaje!K6,Viajeros!$A$3:$F$102,6,FALSE),0)</f>
        <v>0</v>
      </c>
      <c r="J6" s="9">
        <f>IFERROR(VLOOKUP(Hospedaje!L6,Viajeros!$A$3:$F$102,6,FALSE),0)</f>
        <v>0</v>
      </c>
      <c r="K6" s="9">
        <f>IFERROR(VLOOKUP(Hospedaje!M6,Viajeros!$A$3:$F$102,6,FALSE),0)</f>
        <v>0</v>
      </c>
      <c r="L6" s="9">
        <f>IFERROR(VLOOKUP(Hospedaje!N6,Viajeros!$A$3:$F$102,6,FALSE),0)</f>
        <v>0</v>
      </c>
      <c r="M6" s="9">
        <f>IFERROR(VLOOKUP(Hospedaje!O6,Viajeros!$A$3:$F$102,6,FALSE),0)</f>
        <v>0</v>
      </c>
      <c r="N6" s="9">
        <f>IFERROR(VLOOKUP(Hospedaje!P6,Viajeros!$A$3:$F$102,6,FALSE),0)</f>
        <v>0</v>
      </c>
      <c r="O6" s="9">
        <f>IFERROR(VLOOKUP(Hospedaje!Q6,Viajeros!$A$3:$F$102,6,FALSE),0)</f>
        <v>0</v>
      </c>
      <c r="P6" s="9">
        <f>IFERROR(VLOOKUP(Hospedaje!R6,Viajeros!$A$3:$F$102,6,FALSE),0)</f>
        <v>0</v>
      </c>
      <c r="Q6" s="9">
        <f>IFERROR(VLOOKUP(Hospedaje!S6,Viajeros!$A$3:$F$102,6,FALSE),0)</f>
        <v>0</v>
      </c>
    </row>
    <row r="7">
      <c r="A7" s="9" t="str">
        <f>Caravana!A9</f>
        <v>Prisioneros</v>
      </c>
      <c r="B7" s="9">
        <f t="shared" si="2"/>
        <v>0</v>
      </c>
      <c r="C7" s="9">
        <f>IFERROR(VLOOKUP(Hospedaje!E7,Viajeros!$A$3:$F$102,6,FALSE),0)</f>
        <v>0</v>
      </c>
      <c r="D7" s="9">
        <f>IFERROR(VLOOKUP(Hospedaje!F7,Viajeros!$A$3:$F$102,6,FALSE),0)</f>
        <v>0</v>
      </c>
      <c r="E7" s="9">
        <f>IFERROR(VLOOKUP(Hospedaje!G7,Viajeros!$A$3:$F$102,6,FALSE),0)</f>
        <v>0</v>
      </c>
      <c r="F7" s="9">
        <f>IFERROR(VLOOKUP(Hospedaje!H7,Viajeros!$A$3:$F$102,6,FALSE),0)</f>
        <v>0</v>
      </c>
      <c r="G7" s="9">
        <f>IFERROR(VLOOKUP(Hospedaje!I7,Viajeros!$A$3:$F$102,6,FALSE),0)</f>
        <v>0</v>
      </c>
      <c r="H7" s="9">
        <f>IFERROR(VLOOKUP(Hospedaje!J7,Viajeros!$A$3:$F$102,6,FALSE),0)</f>
        <v>0</v>
      </c>
      <c r="I7" s="9">
        <f>IFERROR(VLOOKUP(Hospedaje!K7,Viajeros!$A$3:$F$102,6,FALSE),0)</f>
        <v>0</v>
      </c>
      <c r="J7" s="9">
        <f>IFERROR(VLOOKUP(Hospedaje!L7,Viajeros!$A$3:$F$102,6,FALSE),0)</f>
        <v>0</v>
      </c>
      <c r="K7" s="9">
        <f>IFERROR(VLOOKUP(Hospedaje!M7,Viajeros!$A$3:$F$102,6,FALSE),0)</f>
        <v>0</v>
      </c>
      <c r="L7" s="9">
        <f>IFERROR(VLOOKUP(Hospedaje!N7,Viajeros!$A$3:$F$102,6,FALSE),0)</f>
        <v>0</v>
      </c>
      <c r="M7" s="9">
        <f>IFERROR(VLOOKUP(Hospedaje!O7,Viajeros!$A$3:$F$102,6,FALSE),0)</f>
        <v>0</v>
      </c>
      <c r="N7" s="9">
        <f>IFERROR(VLOOKUP(Hospedaje!P7,Viajeros!$A$3:$F$102,6,FALSE),0)</f>
        <v>0</v>
      </c>
      <c r="O7" s="9">
        <f>IFERROR(VLOOKUP(Hospedaje!Q7,Viajeros!$A$3:$F$102,6,FALSE),0)</f>
        <v>0</v>
      </c>
      <c r="P7" s="9">
        <f>IFERROR(VLOOKUP(Hospedaje!R7,Viajeros!$A$3:$F$102,6,FALSE),0)</f>
        <v>0</v>
      </c>
      <c r="Q7" s="9">
        <f>IFERROR(VLOOKUP(Hospedaje!S7,Viajeros!$A$3:$F$102,6,FALSE),0)</f>
        <v>0</v>
      </c>
    </row>
    <row r="8">
      <c r="A8" s="9" t="str">
        <f>Caravana!A10</f>
        <v>Zoo</v>
      </c>
      <c r="B8" s="9">
        <f t="shared" si="2"/>
        <v>1</v>
      </c>
      <c r="C8" s="9">
        <f>IFERROR(VLOOKUP(Hospedaje!E8,Viajeros!$A$3:$F$102,6,FALSE),0)</f>
        <v>0</v>
      </c>
      <c r="D8" s="9">
        <f>IFERROR(VLOOKUP(Hospedaje!F8,Viajeros!$A$3:$F$102,6,FALSE),0)</f>
        <v>0</v>
      </c>
      <c r="E8" s="9">
        <f>IFERROR(VLOOKUP(Hospedaje!G8,Viajeros!$A$3:$F$102,6,FALSE),0)</f>
        <v>1</v>
      </c>
      <c r="F8" s="9">
        <f>IFERROR(VLOOKUP(Hospedaje!H8,Viajeros!$A$3:$F$102,6,FALSE),0)</f>
        <v>0</v>
      </c>
      <c r="G8" s="9">
        <f>IFERROR(VLOOKUP(Hospedaje!I8,Viajeros!$A$3:$F$102,6,FALSE),0)</f>
        <v>0</v>
      </c>
      <c r="H8" s="9">
        <f>IFERROR(VLOOKUP(Hospedaje!J8,Viajeros!$A$3:$F$102,6,FALSE),0)</f>
        <v>0</v>
      </c>
      <c r="I8" s="9">
        <f>IFERROR(VLOOKUP(Hospedaje!K8,Viajeros!$A$3:$F$102,6,FALSE),0)</f>
        <v>0</v>
      </c>
      <c r="J8" s="9">
        <f>IFERROR(VLOOKUP(Hospedaje!L8,Viajeros!$A$3:$F$102,6,FALSE),0)</f>
        <v>0</v>
      </c>
      <c r="K8" s="9">
        <f>IFERROR(VLOOKUP(Hospedaje!M8,Viajeros!$A$3:$F$102,6,FALSE),0)</f>
        <v>0</v>
      </c>
      <c r="L8" s="9">
        <f>IFERROR(VLOOKUP(Hospedaje!N8,Viajeros!$A$3:$F$102,6,FALSE),0)</f>
        <v>0</v>
      </c>
      <c r="M8" s="9">
        <f>IFERROR(VLOOKUP(Hospedaje!O8,Viajeros!$A$3:$F$102,6,FALSE),0)</f>
        <v>0</v>
      </c>
      <c r="N8" s="9">
        <f>IFERROR(VLOOKUP(Hospedaje!P8,Viajeros!$A$3:$F$102,6,FALSE),0)</f>
        <v>0</v>
      </c>
      <c r="O8" s="9">
        <f>IFERROR(VLOOKUP(Hospedaje!Q8,Viajeros!$A$3:$F$102,6,FALSE),0)</f>
        <v>0</v>
      </c>
      <c r="P8" s="9">
        <f>IFERROR(VLOOKUP(Hospedaje!R8,Viajeros!$A$3:$F$102,6,FALSE),0)</f>
        <v>0</v>
      </c>
      <c r="Q8" s="9">
        <f>IFERROR(VLOOKUP(Hospedaje!S8,Viajeros!$A$3:$F$102,6,FALSE),0)</f>
        <v>0</v>
      </c>
    </row>
    <row r="9">
      <c r="A9" s="9" t="str">
        <f>Caravana!A11</f>
        <v>Familias Kalsgard</v>
      </c>
      <c r="B9" s="9">
        <f t="shared" si="2"/>
        <v>8</v>
      </c>
      <c r="C9" s="9">
        <f>IFERROR(VLOOKUP(Hospedaje!E9,Viajeros!$A$3:$F$102,6,FALSE),0)</f>
        <v>1</v>
      </c>
      <c r="D9" s="9">
        <f>IFERROR(VLOOKUP(Hospedaje!F9,Viajeros!$A$3:$F$102,6,FALSE),0)</f>
        <v>1</v>
      </c>
      <c r="E9" s="9">
        <f>IFERROR(VLOOKUP(Hospedaje!G9,Viajeros!$A$3:$F$102,6,FALSE),0)</f>
        <v>1</v>
      </c>
      <c r="F9" s="9">
        <f>IFERROR(VLOOKUP(Hospedaje!H9,Viajeros!$A$3:$F$102,6,FALSE),0)</f>
        <v>1</v>
      </c>
      <c r="G9" s="9">
        <f>IFERROR(VLOOKUP(Hospedaje!I9,Viajeros!$A$3:$F$102,6,FALSE),0)</f>
        <v>1</v>
      </c>
      <c r="H9" s="9">
        <f>IFERROR(VLOOKUP(Hospedaje!J9,Viajeros!$A$3:$F$102,6,FALSE),0)</f>
        <v>1</v>
      </c>
      <c r="I9" s="9">
        <f>IFERROR(VLOOKUP(Hospedaje!K9,Viajeros!$A$3:$F$102,6,FALSE),0)</f>
        <v>1</v>
      </c>
      <c r="J9" s="9">
        <f>IFERROR(VLOOKUP(Hospedaje!L9,Viajeros!$A$3:$F$102,6,FALSE),0)</f>
        <v>1</v>
      </c>
      <c r="K9" s="9">
        <f>IFERROR(VLOOKUP(Hospedaje!M9,Viajeros!$A$3:$F$102,6,FALSE),0)</f>
        <v>0</v>
      </c>
      <c r="L9" s="9">
        <f>IFERROR(VLOOKUP(Hospedaje!N9,Viajeros!$A$3:$F$102,6,FALSE),0)</f>
        <v>0</v>
      </c>
      <c r="M9" s="9">
        <f>IFERROR(VLOOKUP(Hospedaje!O9,Viajeros!$A$3:$F$102,6,FALSE),0)</f>
        <v>0</v>
      </c>
      <c r="N9" s="9">
        <f>IFERROR(VLOOKUP(Hospedaje!P9,Viajeros!$A$3:$F$102,6,FALSE),0)</f>
        <v>0</v>
      </c>
      <c r="O9" s="9">
        <f>IFERROR(VLOOKUP(Hospedaje!Q9,Viajeros!$A$3:$F$102,6,FALSE),0)</f>
        <v>0</v>
      </c>
      <c r="P9" s="9">
        <f>IFERROR(VLOOKUP(Hospedaje!R9,Viajeros!$A$3:$F$102,6,FALSE),0)</f>
        <v>0</v>
      </c>
      <c r="Q9" s="9">
        <f>IFERROR(VLOOKUP(Hospedaje!S9,Viajeros!$A$3:$F$102,6,FALSE),0)</f>
        <v>0</v>
      </c>
    </row>
    <row r="10">
      <c r="A10" s="9" t="str">
        <f>Caravana!A12</f>
        <v>Mercancías Hierro</v>
      </c>
      <c r="B10" s="9">
        <f t="shared" si="2"/>
        <v>0</v>
      </c>
      <c r="C10" s="9">
        <f>IFERROR(VLOOKUP(Hospedaje!E10,Viajeros!$A$3:$F$102,6,FALSE),0)</f>
        <v>0</v>
      </c>
      <c r="D10" s="9">
        <f>IFERROR(VLOOKUP(Hospedaje!F10,Viajeros!$A$3:$F$102,6,FALSE),0)</f>
        <v>0</v>
      </c>
      <c r="E10" s="9">
        <f>IFERROR(VLOOKUP(Hospedaje!G10,Viajeros!$A$3:$F$102,6,FALSE),0)</f>
        <v>0</v>
      </c>
      <c r="F10" s="9">
        <f>IFERROR(VLOOKUP(Hospedaje!H10,Viajeros!$A$3:$F$102,6,FALSE),0)</f>
        <v>0</v>
      </c>
      <c r="G10" s="9">
        <f>IFERROR(VLOOKUP(Hospedaje!I10,Viajeros!$A$3:$F$102,6,FALSE),0)</f>
        <v>0</v>
      </c>
      <c r="H10" s="9">
        <f>IFERROR(VLOOKUP(Hospedaje!J10,Viajeros!$A$3:$F$102,6,FALSE),0)</f>
        <v>0</v>
      </c>
      <c r="I10" s="9">
        <f>IFERROR(VLOOKUP(Hospedaje!K10,Viajeros!$A$3:$F$102,6,FALSE),0)</f>
        <v>0</v>
      </c>
      <c r="J10" s="9">
        <f>IFERROR(VLOOKUP(Hospedaje!L10,Viajeros!$A$3:$F$102,6,FALSE),0)</f>
        <v>0</v>
      </c>
      <c r="K10" s="9">
        <f>IFERROR(VLOOKUP(Hospedaje!M10,Viajeros!$A$3:$F$102,6,FALSE),0)</f>
        <v>0</v>
      </c>
      <c r="L10" s="9">
        <f>IFERROR(VLOOKUP(Hospedaje!N10,Viajeros!$A$3:$F$102,6,FALSE),0)</f>
        <v>0</v>
      </c>
      <c r="M10" s="9">
        <f>IFERROR(VLOOKUP(Hospedaje!O10,Viajeros!$A$3:$F$102,6,FALSE),0)</f>
        <v>0</v>
      </c>
      <c r="N10" s="9">
        <f>IFERROR(VLOOKUP(Hospedaje!P10,Viajeros!$A$3:$F$102,6,FALSE),0)</f>
        <v>0</v>
      </c>
      <c r="O10" s="9">
        <f>IFERROR(VLOOKUP(Hospedaje!Q10,Viajeros!$A$3:$F$102,6,FALSE),0)</f>
        <v>0</v>
      </c>
      <c r="P10" s="9">
        <f>IFERROR(VLOOKUP(Hospedaje!R10,Viajeros!$A$3:$F$102,6,FALSE),0)</f>
        <v>0</v>
      </c>
      <c r="Q10" s="9">
        <f>IFERROR(VLOOKUP(Hospedaje!S10,Viajeros!$A$3:$F$102,6,FALSE),0)</f>
        <v>0</v>
      </c>
    </row>
    <row r="11">
      <c r="A11" s="9" t="str">
        <f>Caravana!A13</f>
        <v>Mercancías General</v>
      </c>
      <c r="B11" s="9">
        <f t="shared" si="2"/>
        <v>0</v>
      </c>
      <c r="C11" s="9">
        <f>IFERROR(VLOOKUP(Hospedaje!E11,Viajeros!$A$3:$F$102,6,FALSE),0)</f>
        <v>0</v>
      </c>
      <c r="D11" s="9">
        <f>IFERROR(VLOOKUP(Hospedaje!F11,Viajeros!$A$3:$F$102,6,FALSE),0)</f>
        <v>0</v>
      </c>
      <c r="E11" s="9">
        <f>IFERROR(VLOOKUP(Hospedaje!G11,Viajeros!$A$3:$F$102,6,FALSE),0)</f>
        <v>0</v>
      </c>
      <c r="F11" s="9">
        <f>IFERROR(VLOOKUP(Hospedaje!H11,Viajeros!$A$3:$F$102,6,FALSE),0)</f>
        <v>0</v>
      </c>
      <c r="G11" s="9">
        <f>IFERROR(VLOOKUP(Hospedaje!I11,Viajeros!$A$3:$F$102,6,FALSE),0)</f>
        <v>0</v>
      </c>
      <c r="H11" s="9">
        <f>IFERROR(VLOOKUP(Hospedaje!J11,Viajeros!$A$3:$F$102,6,FALSE),0)</f>
        <v>0</v>
      </c>
      <c r="I11" s="9">
        <f>IFERROR(VLOOKUP(Hospedaje!K11,Viajeros!$A$3:$F$102,6,FALSE),0)</f>
        <v>0</v>
      </c>
      <c r="J11" s="9">
        <f>IFERROR(VLOOKUP(Hospedaje!L11,Viajeros!$A$3:$F$102,6,FALSE),0)</f>
        <v>0</v>
      </c>
      <c r="K11" s="9">
        <f>IFERROR(VLOOKUP(Hospedaje!M11,Viajeros!$A$3:$F$102,6,FALSE),0)</f>
        <v>0</v>
      </c>
      <c r="L11" s="9">
        <f>IFERROR(VLOOKUP(Hospedaje!N11,Viajeros!$A$3:$F$102,6,FALSE),0)</f>
        <v>0</v>
      </c>
      <c r="M11" s="9">
        <f>IFERROR(VLOOKUP(Hospedaje!O11,Viajeros!$A$3:$F$102,6,FALSE),0)</f>
        <v>0</v>
      </c>
      <c r="N11" s="9">
        <f>IFERROR(VLOOKUP(Hospedaje!P11,Viajeros!$A$3:$F$102,6,FALSE),0)</f>
        <v>0</v>
      </c>
      <c r="O11" s="9">
        <f>IFERROR(VLOOKUP(Hospedaje!Q11,Viajeros!$A$3:$F$102,6,FALSE),0)</f>
        <v>0</v>
      </c>
      <c r="P11" s="9">
        <f>IFERROR(VLOOKUP(Hospedaje!R11,Viajeros!$A$3:$F$102,6,FALSE),0)</f>
        <v>0</v>
      </c>
      <c r="Q11" s="9">
        <f>IFERROR(VLOOKUP(Hospedaje!S11,Viajeros!$A$3:$F$102,6,FALSE),0)</f>
        <v>0</v>
      </c>
    </row>
    <row r="12">
      <c r="A12" s="9" t="str">
        <f>Caravana!A14</f>
        <v>Mercancías Punta Arena</v>
      </c>
      <c r="B12" s="9">
        <f t="shared" si="2"/>
        <v>0</v>
      </c>
      <c r="C12" s="9">
        <f>IFERROR(VLOOKUP(Hospedaje!E12,Viajeros!$A$3:$F$102,6,FALSE),0)</f>
        <v>0</v>
      </c>
      <c r="D12" s="9">
        <f>IFERROR(VLOOKUP(Hospedaje!F12,Viajeros!$A$3:$F$102,6,FALSE),0)</f>
        <v>0</v>
      </c>
      <c r="E12" s="9">
        <f>IFERROR(VLOOKUP(Hospedaje!G12,Viajeros!$A$3:$F$102,6,FALSE),0)</f>
        <v>0</v>
      </c>
      <c r="F12" s="9">
        <f>IFERROR(VLOOKUP(Hospedaje!H12,Viajeros!$A$3:$F$102,6,FALSE),0)</f>
        <v>0</v>
      </c>
      <c r="G12" s="9">
        <f>IFERROR(VLOOKUP(Hospedaje!I12,Viajeros!$A$3:$F$102,6,FALSE),0)</f>
        <v>0</v>
      </c>
      <c r="H12" s="9">
        <f>IFERROR(VLOOKUP(Hospedaje!J12,Viajeros!$A$3:$F$102,6,FALSE),0)</f>
        <v>0</v>
      </c>
      <c r="I12" s="9">
        <f>IFERROR(VLOOKUP(Hospedaje!K12,Viajeros!$A$3:$F$102,6,FALSE),0)</f>
        <v>0</v>
      </c>
      <c r="J12" s="9">
        <f>IFERROR(VLOOKUP(Hospedaje!L12,Viajeros!$A$3:$F$102,6,FALSE),0)</f>
        <v>0</v>
      </c>
      <c r="K12" s="9">
        <f>IFERROR(VLOOKUP(Hospedaje!M12,Viajeros!$A$3:$F$102,6,FALSE),0)</f>
        <v>0</v>
      </c>
      <c r="L12" s="9">
        <f>IFERROR(VLOOKUP(Hospedaje!N12,Viajeros!$A$3:$F$102,6,FALSE),0)</f>
        <v>0</v>
      </c>
      <c r="M12" s="9">
        <f>IFERROR(VLOOKUP(Hospedaje!O12,Viajeros!$A$3:$F$102,6,FALSE),0)</f>
        <v>0</v>
      </c>
      <c r="N12" s="9">
        <f>IFERROR(VLOOKUP(Hospedaje!P12,Viajeros!$A$3:$F$102,6,FALSE),0)</f>
        <v>0</v>
      </c>
      <c r="O12" s="9">
        <f>IFERROR(VLOOKUP(Hospedaje!Q12,Viajeros!$A$3:$F$102,6,FALSE),0)</f>
        <v>0</v>
      </c>
      <c r="P12" s="9">
        <f>IFERROR(VLOOKUP(Hospedaje!R12,Viajeros!$A$3:$F$102,6,FALSE),0)</f>
        <v>0</v>
      </c>
      <c r="Q12" s="9">
        <f>IFERROR(VLOOKUP(Hospedaje!S12,Viajeros!$A$3:$F$102,6,FALSE),0)</f>
        <v>0</v>
      </c>
    </row>
    <row r="13">
      <c r="A13" s="9" t="str">
        <f>Caravana!A15</f>
        <v>Mercancías Kalsgard</v>
      </c>
      <c r="B13" s="9">
        <f t="shared" si="2"/>
        <v>0</v>
      </c>
      <c r="C13" s="9">
        <f>IFERROR(VLOOKUP(Hospedaje!E13,Viajeros!$A$3:$F$102,6,FALSE),0)</f>
        <v>0</v>
      </c>
      <c r="D13" s="9">
        <f>IFERROR(VLOOKUP(Hospedaje!F13,Viajeros!$A$3:$F$102,6,FALSE),0)</f>
        <v>0</v>
      </c>
      <c r="E13" s="9">
        <f>IFERROR(VLOOKUP(Hospedaje!G13,Viajeros!$A$3:$F$102,6,FALSE),0)</f>
        <v>0</v>
      </c>
      <c r="F13" s="9">
        <f>IFERROR(VLOOKUP(Hospedaje!H13,Viajeros!$A$3:$F$102,6,FALSE),0)</f>
        <v>0</v>
      </c>
      <c r="G13" s="9">
        <f>IFERROR(VLOOKUP(Hospedaje!I13,Viajeros!$A$3:$F$102,6,FALSE),0)</f>
        <v>0</v>
      </c>
      <c r="H13" s="9">
        <f>IFERROR(VLOOKUP(Hospedaje!J13,Viajeros!$A$3:$F$102,6,FALSE),0)</f>
        <v>0</v>
      </c>
      <c r="I13" s="9">
        <f>IFERROR(VLOOKUP(Hospedaje!K13,Viajeros!$A$3:$F$102,6,FALSE),0)</f>
        <v>0</v>
      </c>
      <c r="J13" s="9">
        <f>IFERROR(VLOOKUP(Hospedaje!L13,Viajeros!$A$3:$F$102,6,FALSE),0)</f>
        <v>0</v>
      </c>
      <c r="K13" s="9">
        <f>IFERROR(VLOOKUP(Hospedaje!M13,Viajeros!$A$3:$F$102,6,FALSE),0)</f>
        <v>0</v>
      </c>
      <c r="L13" s="9">
        <f>IFERROR(VLOOKUP(Hospedaje!N13,Viajeros!$A$3:$F$102,6,FALSE),0)</f>
        <v>0</v>
      </c>
      <c r="M13" s="9">
        <f>IFERROR(VLOOKUP(Hospedaje!O13,Viajeros!$A$3:$F$102,6,FALSE),0)</f>
        <v>0</v>
      </c>
      <c r="N13" s="9">
        <f>IFERROR(VLOOKUP(Hospedaje!P13,Viajeros!$A$3:$F$102,6,FALSE),0)</f>
        <v>0</v>
      </c>
      <c r="O13" s="9">
        <f>IFERROR(VLOOKUP(Hospedaje!Q13,Viajeros!$A$3:$F$102,6,FALSE),0)</f>
        <v>0</v>
      </c>
      <c r="P13" s="9">
        <f>IFERROR(VLOOKUP(Hospedaje!R13,Viajeros!$A$3:$F$102,6,FALSE),0)</f>
        <v>0</v>
      </c>
      <c r="Q13" s="9">
        <f>IFERROR(VLOOKUP(Hospedaje!S13,Viajeros!$A$3:$F$102,6,FALSE),0)</f>
        <v>0</v>
      </c>
    </row>
    <row r="14">
      <c r="A14" s="9" t="str">
        <f>Caravana!A16</f>
        <v>Carbón</v>
      </c>
      <c r="B14" s="9">
        <f t="shared" si="2"/>
        <v>0</v>
      </c>
      <c r="C14" s="9">
        <f>IFERROR(VLOOKUP(Hospedaje!E14,Viajeros!$A$3:$F$102,6,FALSE),0)</f>
        <v>0</v>
      </c>
      <c r="D14" s="9">
        <f>IFERROR(VLOOKUP(Hospedaje!F14,Viajeros!$A$3:$F$102,6,FALSE),0)</f>
        <v>0</v>
      </c>
      <c r="E14" s="9">
        <f>IFERROR(VLOOKUP(Hospedaje!G14,Viajeros!$A$3:$F$102,6,FALSE),0)</f>
        <v>0</v>
      </c>
      <c r="F14" s="9">
        <f>IFERROR(VLOOKUP(Hospedaje!H14,Viajeros!$A$3:$F$102,6,FALSE),0)</f>
        <v>0</v>
      </c>
      <c r="G14" s="9">
        <f>IFERROR(VLOOKUP(Hospedaje!I14,Viajeros!$A$3:$F$102,6,FALSE),0)</f>
        <v>0</v>
      </c>
      <c r="H14" s="9">
        <f>IFERROR(VLOOKUP(Hospedaje!J14,Viajeros!$A$3:$F$102,6,FALSE),0)</f>
        <v>0</v>
      </c>
      <c r="I14" s="9">
        <f>IFERROR(VLOOKUP(Hospedaje!K14,Viajeros!$A$3:$F$102,6,FALSE),0)</f>
        <v>0</v>
      </c>
      <c r="J14" s="9">
        <f>IFERROR(VLOOKUP(Hospedaje!L14,Viajeros!$A$3:$F$102,6,FALSE),0)</f>
        <v>0</v>
      </c>
      <c r="K14" s="9">
        <f>IFERROR(VLOOKUP(Hospedaje!M14,Viajeros!$A$3:$F$102,6,FALSE),0)</f>
        <v>0</v>
      </c>
      <c r="L14" s="9">
        <f>IFERROR(VLOOKUP(Hospedaje!N14,Viajeros!$A$3:$F$102,6,FALSE),0)</f>
        <v>0</v>
      </c>
      <c r="M14" s="9">
        <f>IFERROR(VLOOKUP(Hospedaje!O14,Viajeros!$A$3:$F$102,6,FALSE),0)</f>
        <v>0</v>
      </c>
      <c r="N14" s="9">
        <f>IFERROR(VLOOKUP(Hospedaje!P14,Viajeros!$A$3:$F$102,6,FALSE),0)</f>
        <v>0</v>
      </c>
      <c r="O14" s="9">
        <f>IFERROR(VLOOKUP(Hospedaje!Q14,Viajeros!$A$3:$F$102,6,FALSE),0)</f>
        <v>0</v>
      </c>
      <c r="P14" s="9">
        <f>IFERROR(VLOOKUP(Hospedaje!R14,Viajeros!$A$3:$F$102,6,FALSE),0)</f>
        <v>0</v>
      </c>
      <c r="Q14" s="9">
        <f>IFERROR(VLOOKUP(Hospedaje!S14,Viajeros!$A$3:$F$102,6,FALSE),0)</f>
        <v>0</v>
      </c>
    </row>
    <row r="15">
      <c r="A15" s="9" t="str">
        <f>Caravana!A17</f>
        <v>Queso</v>
      </c>
      <c r="B15" s="9">
        <f t="shared" si="2"/>
        <v>1</v>
      </c>
      <c r="C15" s="9">
        <f>IFERROR(VLOOKUP(Hospedaje!E15,Viajeros!$A$3:$F$102,6,FALSE),0)</f>
        <v>1</v>
      </c>
      <c r="D15" s="9">
        <f>IFERROR(VLOOKUP(Hospedaje!F15,Viajeros!$A$3:$F$102,6,FALSE),0)</f>
        <v>0</v>
      </c>
      <c r="E15" s="9">
        <f>IFERROR(VLOOKUP(Hospedaje!G15,Viajeros!$A$3:$F$102,6,FALSE),0)</f>
        <v>0</v>
      </c>
      <c r="F15" s="9">
        <f>IFERROR(VLOOKUP(Hospedaje!H15,Viajeros!$A$3:$F$102,6,FALSE),0)</f>
        <v>0</v>
      </c>
      <c r="G15" s="9">
        <f>IFERROR(VLOOKUP(Hospedaje!I15,Viajeros!$A$3:$F$102,6,FALSE),0)</f>
        <v>0</v>
      </c>
      <c r="H15" s="9">
        <f>IFERROR(VLOOKUP(Hospedaje!J15,Viajeros!$A$3:$F$102,6,FALSE),0)</f>
        <v>0</v>
      </c>
      <c r="I15" s="9">
        <f>IFERROR(VLOOKUP(Hospedaje!K15,Viajeros!$A$3:$F$102,6,FALSE),0)</f>
        <v>0</v>
      </c>
      <c r="J15" s="9">
        <f>IFERROR(VLOOKUP(Hospedaje!L15,Viajeros!$A$3:$F$102,6,FALSE),0)</f>
        <v>0</v>
      </c>
      <c r="K15" s="9">
        <f>IFERROR(VLOOKUP(Hospedaje!M15,Viajeros!$A$3:$F$102,6,FALSE),0)</f>
        <v>0</v>
      </c>
      <c r="L15" s="9">
        <f>IFERROR(VLOOKUP(Hospedaje!N15,Viajeros!$A$3:$F$102,6,FALSE),0)</f>
        <v>0</v>
      </c>
      <c r="M15" s="9">
        <f>IFERROR(VLOOKUP(Hospedaje!O15,Viajeros!$A$3:$F$102,6,FALSE),0)</f>
        <v>0</v>
      </c>
      <c r="N15" s="9">
        <f>IFERROR(VLOOKUP(Hospedaje!P15,Viajeros!$A$3:$F$102,6,FALSE),0)</f>
        <v>0</v>
      </c>
      <c r="O15" s="9">
        <f>IFERROR(VLOOKUP(Hospedaje!Q15,Viajeros!$A$3:$F$102,6,FALSE),0)</f>
        <v>0</v>
      </c>
      <c r="P15" s="9">
        <f>IFERROR(VLOOKUP(Hospedaje!R15,Viajeros!$A$3:$F$102,6,FALSE),0)</f>
        <v>0</v>
      </c>
      <c r="Q15" s="9">
        <f>IFERROR(VLOOKUP(Hospedaje!S15,Viajeros!$A$3:$F$102,6,FALSE),0)</f>
        <v>0</v>
      </c>
    </row>
    <row r="16">
      <c r="A16" s="9" t="str">
        <f>Caravana!A18</f>
        <v>Suministros 1</v>
      </c>
      <c r="B16" s="9">
        <f t="shared" si="2"/>
        <v>0</v>
      </c>
      <c r="C16" s="9">
        <f>IFERROR(VLOOKUP(Hospedaje!E16,Viajeros!$A$3:$F$102,6,FALSE),0)</f>
        <v>0</v>
      </c>
      <c r="D16" s="9">
        <f>IFERROR(VLOOKUP(Hospedaje!F16,Viajeros!$A$3:$F$102,6,FALSE),0)</f>
        <v>0</v>
      </c>
      <c r="E16" s="9">
        <f>IFERROR(VLOOKUP(Hospedaje!G16,Viajeros!$A$3:$F$102,6,FALSE),0)</f>
        <v>0</v>
      </c>
      <c r="F16" s="9">
        <f>IFERROR(VLOOKUP(Hospedaje!H16,Viajeros!$A$3:$F$102,6,FALSE),0)</f>
        <v>0</v>
      </c>
      <c r="G16" s="9">
        <f>IFERROR(VLOOKUP(Hospedaje!I16,Viajeros!$A$3:$F$102,6,FALSE),0)</f>
        <v>0</v>
      </c>
      <c r="H16" s="9">
        <f>IFERROR(VLOOKUP(Hospedaje!J16,Viajeros!$A$3:$F$102,6,FALSE),0)</f>
        <v>0</v>
      </c>
      <c r="I16" s="9">
        <f>IFERROR(VLOOKUP(Hospedaje!K16,Viajeros!$A$3:$F$102,6,FALSE),0)</f>
        <v>0</v>
      </c>
      <c r="J16" s="9">
        <f>IFERROR(VLOOKUP(Hospedaje!L16,Viajeros!$A$3:$F$102,6,FALSE),0)</f>
        <v>0</v>
      </c>
      <c r="K16" s="9">
        <f>IFERROR(VLOOKUP(Hospedaje!M16,Viajeros!$A$3:$F$102,6,FALSE),0)</f>
        <v>0</v>
      </c>
      <c r="L16" s="9">
        <f>IFERROR(VLOOKUP(Hospedaje!N16,Viajeros!$A$3:$F$102,6,FALSE),0)</f>
        <v>0</v>
      </c>
      <c r="M16" s="9">
        <f>IFERROR(VLOOKUP(Hospedaje!O16,Viajeros!$A$3:$F$102,6,FALSE),0)</f>
        <v>0</v>
      </c>
      <c r="N16" s="9">
        <f>IFERROR(VLOOKUP(Hospedaje!P16,Viajeros!$A$3:$F$102,6,FALSE),0)</f>
        <v>0</v>
      </c>
      <c r="O16" s="9">
        <f>IFERROR(VLOOKUP(Hospedaje!Q16,Viajeros!$A$3:$F$102,6,FALSE),0)</f>
        <v>0</v>
      </c>
      <c r="P16" s="9">
        <f>IFERROR(VLOOKUP(Hospedaje!R16,Viajeros!$A$3:$F$102,6,FALSE),0)</f>
        <v>0</v>
      </c>
      <c r="Q16" s="9">
        <f>IFERROR(VLOOKUP(Hospedaje!S16,Viajeros!$A$3:$F$102,6,FALSE),0)</f>
        <v>0</v>
      </c>
    </row>
    <row r="17">
      <c r="A17" s="9" t="str">
        <f>Caravana!A19</f>
        <v>Suministros 2</v>
      </c>
      <c r="B17" s="9">
        <f t="shared" si="2"/>
        <v>0</v>
      </c>
      <c r="C17" s="9">
        <f>IFERROR(VLOOKUP(Hospedaje!E17,Viajeros!$A$3:$F$102,6,FALSE),0)</f>
        <v>0</v>
      </c>
      <c r="D17" s="9">
        <f>IFERROR(VLOOKUP(Hospedaje!F17,Viajeros!$A$3:$F$102,6,FALSE),0)</f>
        <v>0</v>
      </c>
      <c r="E17" s="9">
        <f>IFERROR(VLOOKUP(Hospedaje!G17,Viajeros!$A$3:$F$102,6,FALSE),0)</f>
        <v>0</v>
      </c>
      <c r="F17" s="9">
        <f>IFERROR(VLOOKUP(Hospedaje!H17,Viajeros!$A$3:$F$102,6,FALSE),0)</f>
        <v>0</v>
      </c>
      <c r="G17" s="9">
        <f>IFERROR(VLOOKUP(Hospedaje!I17,Viajeros!$A$3:$F$102,6,FALSE),0)</f>
        <v>0</v>
      </c>
      <c r="H17" s="9">
        <f>IFERROR(VLOOKUP(Hospedaje!J17,Viajeros!$A$3:$F$102,6,FALSE),0)</f>
        <v>0</v>
      </c>
      <c r="I17" s="9">
        <f>IFERROR(VLOOKUP(Hospedaje!K17,Viajeros!$A$3:$F$102,6,FALSE),0)</f>
        <v>0</v>
      </c>
      <c r="J17" s="9">
        <f>IFERROR(VLOOKUP(Hospedaje!L17,Viajeros!$A$3:$F$102,6,FALSE),0)</f>
        <v>0</v>
      </c>
      <c r="K17" s="9">
        <f>IFERROR(VLOOKUP(Hospedaje!M17,Viajeros!$A$3:$F$102,6,FALSE),0)</f>
        <v>0</v>
      </c>
      <c r="L17" s="9">
        <f>IFERROR(VLOOKUP(Hospedaje!N17,Viajeros!$A$3:$F$102,6,FALSE),0)</f>
        <v>0</v>
      </c>
      <c r="M17" s="9">
        <f>IFERROR(VLOOKUP(Hospedaje!O17,Viajeros!$A$3:$F$102,6,FALSE),0)</f>
        <v>0</v>
      </c>
      <c r="N17" s="9">
        <f>IFERROR(VLOOKUP(Hospedaje!P17,Viajeros!$A$3:$F$102,6,FALSE),0)</f>
        <v>0</v>
      </c>
      <c r="O17" s="9">
        <f>IFERROR(VLOOKUP(Hospedaje!Q17,Viajeros!$A$3:$F$102,6,FALSE),0)</f>
        <v>0</v>
      </c>
      <c r="P17" s="9">
        <f>IFERROR(VLOOKUP(Hospedaje!R17,Viajeros!$A$3:$F$102,6,FALSE),0)</f>
        <v>0</v>
      </c>
      <c r="Q17" s="9">
        <f>IFERROR(VLOOKUP(Hospedaje!S17,Viajeros!$A$3:$F$102,6,FALSE),0)</f>
        <v>0</v>
      </c>
    </row>
    <row r="18">
      <c r="A18" s="9" t="str">
        <f>Caravana!A20</f>
        <v>Koya</v>
      </c>
      <c r="B18" s="9">
        <f t="shared" si="2"/>
        <v>1</v>
      </c>
      <c r="C18" s="9">
        <f>IFERROR(VLOOKUP(Hospedaje!E18,Viajeros!$A$3:$F$102,6,FALSE),0)</f>
        <v>1</v>
      </c>
      <c r="D18" s="9">
        <f>IFERROR(VLOOKUP(Hospedaje!F18,Viajeros!$A$3:$F$102,6,FALSE),0)</f>
        <v>0</v>
      </c>
      <c r="E18" s="9">
        <f>IFERROR(VLOOKUP(Hospedaje!G18,Viajeros!$A$3:$F$102,6,FALSE),0)</f>
        <v>0</v>
      </c>
      <c r="F18" s="9">
        <f>IFERROR(VLOOKUP(Hospedaje!H18,Viajeros!$A$3:$F$102,6,FALSE),0)</f>
        <v>0</v>
      </c>
      <c r="G18" s="9">
        <f>IFERROR(VLOOKUP(Hospedaje!I18,Viajeros!$A$3:$F$102,6,FALSE),0)</f>
        <v>0</v>
      </c>
      <c r="H18" s="9">
        <f>IFERROR(VLOOKUP(Hospedaje!J18,Viajeros!$A$3:$F$102,6,FALSE),0)</f>
        <v>0</v>
      </c>
      <c r="I18" s="9">
        <f>IFERROR(VLOOKUP(Hospedaje!K18,Viajeros!$A$3:$F$102,6,FALSE),0)</f>
        <v>0</v>
      </c>
      <c r="J18" s="9">
        <f>IFERROR(VLOOKUP(Hospedaje!L18,Viajeros!$A$3:$F$102,6,FALSE),0)</f>
        <v>0</v>
      </c>
      <c r="K18" s="9">
        <f>IFERROR(VLOOKUP(Hospedaje!M18,Viajeros!$A$3:$F$102,6,FALSE),0)</f>
        <v>0</v>
      </c>
      <c r="L18" s="9">
        <f>IFERROR(VLOOKUP(Hospedaje!N18,Viajeros!$A$3:$F$102,6,FALSE),0)</f>
        <v>0</v>
      </c>
      <c r="M18" s="9">
        <f>IFERROR(VLOOKUP(Hospedaje!O18,Viajeros!$A$3:$F$102,6,FALSE),0)</f>
        <v>0</v>
      </c>
      <c r="N18" s="9">
        <f>IFERROR(VLOOKUP(Hospedaje!P18,Viajeros!$A$3:$F$102,6,FALSE),0)</f>
        <v>0</v>
      </c>
      <c r="O18" s="9">
        <f>IFERROR(VLOOKUP(Hospedaje!Q18,Viajeros!$A$3:$F$102,6,FALSE),0)</f>
        <v>0</v>
      </c>
      <c r="P18" s="9">
        <f>IFERROR(VLOOKUP(Hospedaje!R18,Viajeros!$A$3:$F$102,6,FALSE),0)</f>
        <v>0</v>
      </c>
      <c r="Q18" s="9">
        <f>IFERROR(VLOOKUP(Hospedaje!S18,Viajeros!$A$3:$F$102,6,FALSE),0)</f>
        <v>0</v>
      </c>
    </row>
    <row r="19">
      <c r="A19" s="9" t="str">
        <f>Caravana!A21</f>
        <v>Taller</v>
      </c>
      <c r="B19" s="9">
        <f t="shared" si="2"/>
        <v>0</v>
      </c>
      <c r="C19" s="9">
        <f>IFERROR(VLOOKUP(Hospedaje!E19,Viajeros!$A$3:$F$102,6,FALSE),0)</f>
        <v>0</v>
      </c>
      <c r="D19" s="9">
        <f>IFERROR(VLOOKUP(Hospedaje!F19,Viajeros!$A$3:$F$102,6,FALSE),0)</f>
        <v>0</v>
      </c>
      <c r="E19" s="9">
        <f>IFERROR(VLOOKUP(Hospedaje!G19,Viajeros!$A$3:$F$102,6,FALSE),0)</f>
        <v>0</v>
      </c>
      <c r="F19" s="9">
        <f>IFERROR(VLOOKUP(Hospedaje!H19,Viajeros!$A$3:$F$102,6,FALSE),0)</f>
        <v>0</v>
      </c>
      <c r="G19" s="9">
        <f>IFERROR(VLOOKUP(Hospedaje!I19,Viajeros!$A$3:$F$102,6,FALSE),0)</f>
        <v>0</v>
      </c>
      <c r="H19" s="9">
        <f>IFERROR(VLOOKUP(Hospedaje!J19,Viajeros!$A$3:$F$102,6,FALSE),0)</f>
        <v>0</v>
      </c>
      <c r="I19" s="9">
        <f>IFERROR(VLOOKUP(Hospedaje!K19,Viajeros!$A$3:$F$102,6,FALSE),0)</f>
        <v>0</v>
      </c>
      <c r="J19" s="9">
        <f>IFERROR(VLOOKUP(Hospedaje!L19,Viajeros!$A$3:$F$102,6,FALSE),0)</f>
        <v>0</v>
      </c>
      <c r="K19" s="9">
        <f>IFERROR(VLOOKUP(Hospedaje!M19,Viajeros!$A$3:$F$102,6,FALSE),0)</f>
        <v>0</v>
      </c>
      <c r="L19" s="9">
        <f>IFERROR(VLOOKUP(Hospedaje!N19,Viajeros!$A$3:$F$102,6,FALSE),0)</f>
        <v>0</v>
      </c>
      <c r="M19" s="9">
        <f>IFERROR(VLOOKUP(Hospedaje!O19,Viajeros!$A$3:$F$102,6,FALSE),0)</f>
        <v>0</v>
      </c>
      <c r="N19" s="9">
        <f>IFERROR(VLOOKUP(Hospedaje!P19,Viajeros!$A$3:$F$102,6,FALSE),0)</f>
        <v>0</v>
      </c>
      <c r="O19" s="9">
        <f>IFERROR(VLOOKUP(Hospedaje!Q19,Viajeros!$A$3:$F$102,6,FALSE),0)</f>
        <v>0</v>
      </c>
      <c r="P19" s="9">
        <f>IFERROR(VLOOKUP(Hospedaje!R19,Viajeros!$A$3:$F$102,6,FALSE),0)</f>
        <v>0</v>
      </c>
      <c r="Q19" s="9">
        <f>IFERROR(VLOOKUP(Hospedaje!S19,Viajeros!$A$3:$F$102,6,FALSE),0)</f>
        <v>0</v>
      </c>
    </row>
    <row r="20">
      <c r="A20" s="9" t="str">
        <f>Caravana!A22</f>
        <v>Escuela</v>
      </c>
      <c r="B20" s="9">
        <f t="shared" si="2"/>
        <v>1</v>
      </c>
      <c r="C20" s="9">
        <f>IFERROR(VLOOKUP(Hospedaje!E20,Viajeros!$A$3:$F$102,6,FALSE),0)</f>
        <v>1</v>
      </c>
      <c r="D20" s="9">
        <f>IFERROR(VLOOKUP(Hospedaje!F20,Viajeros!$A$3:$F$102,6,FALSE),0)</f>
        <v>0</v>
      </c>
      <c r="E20" s="9">
        <f>IFERROR(VLOOKUP(Hospedaje!G20,Viajeros!$A$3:$F$102,6,FALSE),0)</f>
        <v>0</v>
      </c>
      <c r="F20" s="9">
        <f>IFERROR(VLOOKUP(Hospedaje!H20,Viajeros!$A$3:$F$102,6,FALSE),0)</f>
        <v>0</v>
      </c>
      <c r="G20" s="9">
        <f>IFERROR(VLOOKUP(Hospedaje!I20,Viajeros!$A$3:$F$102,6,FALSE),0)</f>
        <v>0</v>
      </c>
      <c r="H20" s="9">
        <f>IFERROR(VLOOKUP(Hospedaje!J20,Viajeros!$A$3:$F$102,6,FALSE),0)</f>
        <v>0</v>
      </c>
      <c r="I20" s="9">
        <f>IFERROR(VLOOKUP(Hospedaje!K20,Viajeros!$A$3:$F$102,6,FALSE),0)</f>
        <v>0</v>
      </c>
      <c r="J20" s="9">
        <f>IFERROR(VLOOKUP(Hospedaje!L20,Viajeros!$A$3:$F$102,6,FALSE),0)</f>
        <v>0</v>
      </c>
      <c r="K20" s="9">
        <f>IFERROR(VLOOKUP(Hospedaje!M20,Viajeros!$A$3:$F$102,6,FALSE),0)</f>
        <v>0</v>
      </c>
      <c r="L20" s="9">
        <f>IFERROR(VLOOKUP(Hospedaje!N20,Viajeros!$A$3:$F$102,6,FALSE),0)</f>
        <v>0</v>
      </c>
      <c r="M20" s="9">
        <f>IFERROR(VLOOKUP(Hospedaje!O20,Viajeros!$A$3:$F$102,6,FALSE),0)</f>
        <v>0</v>
      </c>
      <c r="N20" s="9">
        <f>IFERROR(VLOOKUP(Hospedaje!P20,Viajeros!$A$3:$F$102,6,FALSE),0)</f>
        <v>0</v>
      </c>
      <c r="O20" s="9">
        <f>IFERROR(VLOOKUP(Hospedaje!Q20,Viajeros!$A$3:$F$102,6,FALSE),0)</f>
        <v>0</v>
      </c>
      <c r="P20" s="9">
        <f>IFERROR(VLOOKUP(Hospedaje!R20,Viajeros!$A$3:$F$102,6,FALSE),0)</f>
        <v>0</v>
      </c>
      <c r="Q20" s="9">
        <f>IFERROR(VLOOKUP(Hospedaje!S20,Viajeros!$A$3:$F$102,6,FALSE),0)</f>
        <v>0</v>
      </c>
    </row>
    <row r="21">
      <c r="A21" s="9" t="str">
        <f>Caravana!A23</f>
        <v>Huerto Hagorsson</v>
      </c>
      <c r="B21" s="9">
        <f t="shared" si="2"/>
        <v>0</v>
      </c>
      <c r="C21" s="9">
        <f>IFERROR(VLOOKUP(Hospedaje!E21,Viajeros!$A$3:$F$102,6,FALSE),0)</f>
        <v>0</v>
      </c>
      <c r="D21" s="9">
        <f>IFERROR(VLOOKUP(Hospedaje!F21,Viajeros!$A$3:$F$102,6,FALSE),0)</f>
        <v>0</v>
      </c>
      <c r="E21" s="9">
        <f>IFERROR(VLOOKUP(Hospedaje!G21,Viajeros!$A$3:$F$102,6,FALSE),0)</f>
        <v>0</v>
      </c>
      <c r="F21" s="9">
        <f>IFERROR(VLOOKUP(Hospedaje!H21,Viajeros!$A$3:$F$102,6,FALSE),0)</f>
        <v>0</v>
      </c>
      <c r="G21" s="9">
        <f>IFERROR(VLOOKUP(Hospedaje!I21,Viajeros!$A$3:$F$102,6,FALSE),0)</f>
        <v>0</v>
      </c>
      <c r="H21" s="9">
        <f>IFERROR(VLOOKUP(Hospedaje!J21,Viajeros!$A$3:$F$102,6,FALSE),0)</f>
        <v>0</v>
      </c>
      <c r="I21" s="9">
        <f>IFERROR(VLOOKUP(Hospedaje!K21,Viajeros!$A$3:$F$102,6,FALSE),0)</f>
        <v>0</v>
      </c>
      <c r="J21" s="9">
        <f>IFERROR(VLOOKUP(Hospedaje!L21,Viajeros!$A$3:$F$102,6,FALSE),0)</f>
        <v>0</v>
      </c>
      <c r="K21" s="9">
        <f>IFERROR(VLOOKUP(Hospedaje!M21,Viajeros!$A$3:$F$102,6,FALSE),0)</f>
        <v>0</v>
      </c>
      <c r="L21" s="9">
        <f>IFERROR(VLOOKUP(Hospedaje!N21,Viajeros!$A$3:$F$102,6,FALSE),0)</f>
        <v>0</v>
      </c>
      <c r="M21" s="9">
        <f>IFERROR(VLOOKUP(Hospedaje!O21,Viajeros!$A$3:$F$102,6,FALSE),0)</f>
        <v>0</v>
      </c>
      <c r="N21" s="9">
        <f>IFERROR(VLOOKUP(Hospedaje!P21,Viajeros!$A$3:$F$102,6,FALSE),0)</f>
        <v>0</v>
      </c>
      <c r="O21" s="9">
        <f>IFERROR(VLOOKUP(Hospedaje!Q21,Viajeros!$A$3:$F$102,6,FALSE),0)</f>
        <v>0</v>
      </c>
      <c r="P21" s="9">
        <f>IFERROR(VLOOKUP(Hospedaje!R21,Viajeros!$A$3:$F$102,6,FALSE),0)</f>
        <v>0</v>
      </c>
      <c r="Q21" s="9">
        <f>IFERROR(VLOOKUP(Hospedaje!S21,Viajeros!$A$3:$F$102,6,FALSE),0)</f>
        <v>0</v>
      </c>
    </row>
    <row r="22">
      <c r="A22" s="9" t="str">
        <f>Caravana!A24</f>
        <v>Huerto 1</v>
      </c>
      <c r="B22" s="9">
        <f t="shared" si="2"/>
        <v>2</v>
      </c>
      <c r="C22" s="9">
        <f>IFERROR(VLOOKUP(Hospedaje!E22,Viajeros!$A$3:$F$102,6,FALSE),0)</f>
        <v>2</v>
      </c>
      <c r="D22" s="9">
        <f>IFERROR(VLOOKUP(Hospedaje!F22,Viajeros!$A$3:$F$102,6,FALSE),0)</f>
        <v>0</v>
      </c>
      <c r="E22" s="9">
        <f>IFERROR(VLOOKUP(Hospedaje!G22,Viajeros!$A$3:$F$102,6,FALSE),0)</f>
        <v>0</v>
      </c>
      <c r="F22" s="9">
        <f>IFERROR(VLOOKUP(Hospedaje!H22,Viajeros!$A$3:$F$102,6,FALSE),0)</f>
        <v>0</v>
      </c>
      <c r="G22" s="9">
        <f>IFERROR(VLOOKUP(Hospedaje!I22,Viajeros!$A$3:$F$102,6,FALSE),0)</f>
        <v>0</v>
      </c>
      <c r="H22" s="9">
        <f>IFERROR(VLOOKUP(Hospedaje!J22,Viajeros!$A$3:$F$102,6,FALSE),0)</f>
        <v>0</v>
      </c>
      <c r="I22" s="9">
        <f>IFERROR(VLOOKUP(Hospedaje!K22,Viajeros!$A$3:$F$102,6,FALSE),0)</f>
        <v>0</v>
      </c>
      <c r="J22" s="9">
        <f>IFERROR(VLOOKUP(Hospedaje!L22,Viajeros!$A$3:$F$102,6,FALSE),0)</f>
        <v>0</v>
      </c>
      <c r="K22" s="9">
        <f>IFERROR(VLOOKUP(Hospedaje!M22,Viajeros!$A$3:$F$102,6,FALSE),0)</f>
        <v>0</v>
      </c>
      <c r="L22" s="9">
        <f>IFERROR(VLOOKUP(Hospedaje!N22,Viajeros!$A$3:$F$102,6,FALSE),0)</f>
        <v>0</v>
      </c>
      <c r="M22" s="9">
        <f>IFERROR(VLOOKUP(Hospedaje!O22,Viajeros!$A$3:$F$102,6,FALSE),0)</f>
        <v>0</v>
      </c>
      <c r="N22" s="9">
        <f>IFERROR(VLOOKUP(Hospedaje!P22,Viajeros!$A$3:$F$102,6,FALSE),0)</f>
        <v>0</v>
      </c>
      <c r="O22" s="9">
        <f>IFERROR(VLOOKUP(Hospedaje!Q22,Viajeros!$A$3:$F$102,6,FALSE),0)</f>
        <v>0</v>
      </c>
      <c r="P22" s="9">
        <f>IFERROR(VLOOKUP(Hospedaje!R22,Viajeros!$A$3:$F$102,6,FALSE),0)</f>
        <v>0</v>
      </c>
      <c r="Q22" s="9">
        <f>IFERROR(VLOOKUP(Hospedaje!S22,Viajeros!$A$3:$F$102,6,FALSE),0)</f>
        <v>0</v>
      </c>
    </row>
    <row r="23">
      <c r="A23" s="9" t="str">
        <f>Caravana!A25</f>
        <v>Huerto 2</v>
      </c>
      <c r="B23" s="9">
        <f t="shared" si="2"/>
        <v>0</v>
      </c>
      <c r="C23" s="9">
        <f>IFERROR(VLOOKUP(Hospedaje!E23,Viajeros!$A$3:$F$102,6,FALSE),0)</f>
        <v>0</v>
      </c>
      <c r="D23" s="9">
        <f>IFERROR(VLOOKUP(Hospedaje!F23,Viajeros!$A$3:$F$102,6,FALSE),0)</f>
        <v>0</v>
      </c>
      <c r="E23" s="9">
        <f>IFERROR(VLOOKUP(Hospedaje!G23,Viajeros!$A$3:$F$102,6,FALSE),0)</f>
        <v>0</v>
      </c>
      <c r="F23" s="9">
        <f>IFERROR(VLOOKUP(Hospedaje!H23,Viajeros!$A$3:$F$102,6,FALSE),0)</f>
        <v>0</v>
      </c>
      <c r="G23" s="9">
        <f>IFERROR(VLOOKUP(Hospedaje!I23,Viajeros!$A$3:$F$102,6,FALSE),0)</f>
        <v>0</v>
      </c>
      <c r="H23" s="9">
        <f>IFERROR(VLOOKUP(Hospedaje!J23,Viajeros!$A$3:$F$102,6,FALSE),0)</f>
        <v>0</v>
      </c>
      <c r="I23" s="9">
        <f>IFERROR(VLOOKUP(Hospedaje!K23,Viajeros!$A$3:$F$102,6,FALSE),0)</f>
        <v>0</v>
      </c>
      <c r="J23" s="9">
        <f>IFERROR(VLOOKUP(Hospedaje!L23,Viajeros!$A$3:$F$102,6,FALSE),0)</f>
        <v>0</v>
      </c>
      <c r="K23" s="9">
        <f>IFERROR(VLOOKUP(Hospedaje!M23,Viajeros!$A$3:$F$102,6,FALSE),0)</f>
        <v>0</v>
      </c>
      <c r="L23" s="9">
        <f>IFERROR(VLOOKUP(Hospedaje!N23,Viajeros!$A$3:$F$102,6,FALSE),0)</f>
        <v>0</v>
      </c>
      <c r="M23" s="9">
        <f>IFERROR(VLOOKUP(Hospedaje!O23,Viajeros!$A$3:$F$102,6,FALSE),0)</f>
        <v>0</v>
      </c>
      <c r="N23" s="9">
        <f>IFERROR(VLOOKUP(Hospedaje!P23,Viajeros!$A$3:$F$102,6,FALSE),0)</f>
        <v>0</v>
      </c>
      <c r="O23" s="9">
        <f>IFERROR(VLOOKUP(Hospedaje!Q23,Viajeros!$A$3:$F$102,6,FALSE),0)</f>
        <v>0</v>
      </c>
      <c r="P23" s="9">
        <f>IFERROR(VLOOKUP(Hospedaje!R23,Viajeros!$A$3:$F$102,6,FALSE),0)</f>
        <v>0</v>
      </c>
      <c r="Q23" s="9">
        <f>IFERROR(VLOOKUP(Hospedaje!S23,Viajeros!$A$3:$F$102,6,FALSE),0)</f>
        <v>0</v>
      </c>
    </row>
    <row r="24">
      <c r="A24" s="9" t="str">
        <f>Caravana!A26</f>
        <v>Hospital</v>
      </c>
      <c r="B24" s="9">
        <f t="shared" si="2"/>
        <v>0</v>
      </c>
      <c r="C24" s="9">
        <f>IFERROR(VLOOKUP(Hospedaje!E24,Viajeros!$A$3:$F$102,6,FALSE),0)</f>
        <v>0</v>
      </c>
      <c r="D24" s="9">
        <f>IFERROR(VLOOKUP(Hospedaje!F24,Viajeros!$A$3:$F$102,6,FALSE),0)</f>
        <v>0</v>
      </c>
      <c r="E24" s="9">
        <f>IFERROR(VLOOKUP(Hospedaje!G24,Viajeros!$A$3:$F$102,6,FALSE),0)</f>
        <v>0</v>
      </c>
      <c r="F24" s="9">
        <f>IFERROR(VLOOKUP(Hospedaje!H24,Viajeros!$A$3:$F$102,6,FALSE),0)</f>
        <v>0</v>
      </c>
      <c r="G24" s="9">
        <f>IFERROR(VLOOKUP(Hospedaje!I24,Viajeros!$A$3:$F$102,6,FALSE),0)</f>
        <v>0</v>
      </c>
      <c r="H24" s="9">
        <f>IFERROR(VLOOKUP(Hospedaje!J24,Viajeros!$A$3:$F$102,6,FALSE),0)</f>
        <v>0</v>
      </c>
      <c r="I24" s="9">
        <f>IFERROR(VLOOKUP(Hospedaje!K24,Viajeros!$A$3:$F$102,6,FALSE),0)</f>
        <v>0</v>
      </c>
      <c r="J24" s="9">
        <f>IFERROR(VLOOKUP(Hospedaje!L24,Viajeros!$A$3:$F$102,6,FALSE),0)</f>
        <v>0</v>
      </c>
      <c r="K24" s="9">
        <f>IFERROR(VLOOKUP(Hospedaje!M24,Viajeros!$A$3:$F$102,6,FALSE),0)</f>
        <v>0</v>
      </c>
      <c r="L24" s="9">
        <f>IFERROR(VLOOKUP(Hospedaje!N24,Viajeros!$A$3:$F$102,6,FALSE),0)</f>
        <v>0</v>
      </c>
      <c r="M24" s="9">
        <f>IFERROR(VLOOKUP(Hospedaje!O24,Viajeros!$A$3:$F$102,6,FALSE),0)</f>
        <v>0</v>
      </c>
      <c r="N24" s="9">
        <f>IFERROR(VLOOKUP(Hospedaje!P24,Viajeros!$A$3:$F$102,6,FALSE),0)</f>
        <v>0</v>
      </c>
      <c r="O24" s="9">
        <f>IFERROR(VLOOKUP(Hospedaje!Q24,Viajeros!$A$3:$F$102,6,FALSE),0)</f>
        <v>0</v>
      </c>
      <c r="P24" s="9">
        <f>IFERROR(VLOOKUP(Hospedaje!R24,Viajeros!$A$3:$F$102,6,FALSE),0)</f>
        <v>0</v>
      </c>
      <c r="Q24" s="9">
        <f>IFERROR(VLOOKUP(Hospedaje!S24,Viajeros!$A$3:$F$102,6,FALSE),0)</f>
        <v>0</v>
      </c>
    </row>
    <row r="25">
      <c r="A25" s="9" t="str">
        <f>Caravana!A27</f>
        <v>Bar sin límites</v>
      </c>
      <c r="B25" s="9">
        <f t="shared" si="2"/>
        <v>3</v>
      </c>
      <c r="C25" s="9">
        <f>IFERROR(VLOOKUP(Hospedaje!E25,Viajeros!$A$3:$F$102,6,FALSE),0)</f>
        <v>1</v>
      </c>
      <c r="D25" s="9">
        <f>IFERROR(VLOOKUP(Hospedaje!F25,Viajeros!$A$3:$F$102,6,FALSE),0)</f>
        <v>1</v>
      </c>
      <c r="E25" s="9">
        <f>IFERROR(VLOOKUP(Hospedaje!G25,Viajeros!$A$3:$F$102,6,FALSE),0)</f>
        <v>1</v>
      </c>
      <c r="F25" s="9">
        <f>IFERROR(VLOOKUP(Hospedaje!H25,Viajeros!$A$3:$F$102,6,FALSE),0)</f>
        <v>0</v>
      </c>
      <c r="G25" s="9">
        <f>IFERROR(VLOOKUP(Hospedaje!I25,Viajeros!$A$3:$F$102,6,FALSE),0)</f>
        <v>0</v>
      </c>
      <c r="H25" s="9">
        <f>IFERROR(VLOOKUP(Hospedaje!J25,Viajeros!$A$3:$F$102,6,FALSE),0)</f>
        <v>0</v>
      </c>
      <c r="I25" s="9">
        <f>IFERROR(VLOOKUP(Hospedaje!K25,Viajeros!$A$3:$F$102,6,FALSE),0)</f>
        <v>0</v>
      </c>
      <c r="J25" s="9">
        <f>IFERROR(VLOOKUP(Hospedaje!L25,Viajeros!$A$3:$F$102,6,FALSE),0)</f>
        <v>0</v>
      </c>
      <c r="K25" s="9">
        <f>IFERROR(VLOOKUP(Hospedaje!M25,Viajeros!$A$3:$F$102,6,FALSE),0)</f>
        <v>0</v>
      </c>
      <c r="L25" s="9">
        <f>IFERROR(VLOOKUP(Hospedaje!N25,Viajeros!$A$3:$F$102,6,FALSE),0)</f>
        <v>0</v>
      </c>
      <c r="M25" s="9">
        <f>IFERROR(VLOOKUP(Hospedaje!O25,Viajeros!$A$3:$F$102,6,FALSE),0)</f>
        <v>0</v>
      </c>
      <c r="N25" s="9">
        <f>IFERROR(VLOOKUP(Hospedaje!P25,Viajeros!$A$3:$F$102,6,FALSE),0)</f>
        <v>0</v>
      </c>
      <c r="O25" s="9">
        <f>IFERROR(VLOOKUP(Hospedaje!Q25,Viajeros!$A$3:$F$102,6,FALSE),0)</f>
        <v>0</v>
      </c>
      <c r="P25" s="9">
        <f>IFERROR(VLOOKUP(Hospedaje!R25,Viajeros!$A$3:$F$102,6,FALSE),0)</f>
        <v>0</v>
      </c>
      <c r="Q25" s="9">
        <f>IFERROR(VLOOKUP(Hospedaje!S25,Viajeros!$A$3:$F$102,6,FALSE),0)</f>
        <v>0</v>
      </c>
    </row>
    <row r="26">
      <c r="A26" s="9" t="str">
        <f>Caravana!A28</f>
        <v>Cómodo 1</v>
      </c>
      <c r="B26" s="9">
        <f t="shared" si="2"/>
        <v>5</v>
      </c>
      <c r="C26" s="9">
        <f>IFERROR(VLOOKUP(Hospedaje!E26,Viajeros!$A$3:$F$102,6,FALSE),0)</f>
        <v>1</v>
      </c>
      <c r="D26" s="9">
        <f>IFERROR(VLOOKUP(Hospedaje!F26,Viajeros!$A$3:$F$102,6,FALSE),0)</f>
        <v>1</v>
      </c>
      <c r="E26" s="9">
        <f>IFERROR(VLOOKUP(Hospedaje!G26,Viajeros!$A$3:$F$102,6,FALSE),0)</f>
        <v>1</v>
      </c>
      <c r="F26" s="9">
        <f>IFERROR(VLOOKUP(Hospedaje!H26,Viajeros!$A$3:$F$102,6,FALSE),0)</f>
        <v>1</v>
      </c>
      <c r="G26" s="9">
        <f>IFERROR(VLOOKUP(Hospedaje!I26,Viajeros!$A$3:$F$102,6,FALSE),0)</f>
        <v>1</v>
      </c>
      <c r="H26" s="9">
        <f>IFERROR(VLOOKUP(Hospedaje!J26,Viajeros!$A$3:$F$102,6,FALSE),0)</f>
        <v>0</v>
      </c>
      <c r="I26" s="9">
        <f>IFERROR(VLOOKUP(Hospedaje!K26,Viajeros!$A$3:$F$102,6,FALSE),0)</f>
        <v>0</v>
      </c>
      <c r="J26" s="9">
        <f>IFERROR(VLOOKUP(Hospedaje!L26,Viajeros!$A$3:$F$102,6,FALSE),0)</f>
        <v>0</v>
      </c>
      <c r="K26" s="9">
        <f>IFERROR(VLOOKUP(Hospedaje!M26,Viajeros!$A$3:$F$102,6,FALSE),0)</f>
        <v>0</v>
      </c>
      <c r="L26" s="9">
        <f>IFERROR(VLOOKUP(Hospedaje!N26,Viajeros!$A$3:$F$102,6,FALSE),0)</f>
        <v>0</v>
      </c>
      <c r="M26" s="9">
        <f>IFERROR(VLOOKUP(Hospedaje!O26,Viajeros!$A$3:$F$102,6,FALSE),0)</f>
        <v>0</v>
      </c>
      <c r="N26" s="9">
        <f>IFERROR(VLOOKUP(Hospedaje!P26,Viajeros!$A$3:$F$102,6,FALSE),0)</f>
        <v>0</v>
      </c>
      <c r="O26" s="9">
        <f>IFERROR(VLOOKUP(Hospedaje!Q26,Viajeros!$A$3:$F$102,6,FALSE),0)</f>
        <v>0</v>
      </c>
      <c r="P26" s="9">
        <f>IFERROR(VLOOKUP(Hospedaje!R26,Viajeros!$A$3:$F$102,6,FALSE),0)</f>
        <v>0</v>
      </c>
      <c r="Q26" s="9">
        <f>IFERROR(VLOOKUP(Hospedaje!S26,Viajeros!$A$3:$F$102,6,FALSE),0)</f>
        <v>0</v>
      </c>
    </row>
    <row r="27">
      <c r="A27" s="9" t="str">
        <f>Caravana!A29</f>
        <v>Cómodo 2</v>
      </c>
      <c r="B27" s="9">
        <f t="shared" si="2"/>
        <v>5</v>
      </c>
      <c r="C27" s="9">
        <f>IFERROR(VLOOKUP(Hospedaje!E27,Viajeros!$A$3:$F$102,6,FALSE),0)</f>
        <v>1</v>
      </c>
      <c r="D27" s="9">
        <f>IFERROR(VLOOKUP(Hospedaje!F27,Viajeros!$A$3:$F$102,6,FALSE),0)</f>
        <v>1</v>
      </c>
      <c r="E27" s="9">
        <f>IFERROR(VLOOKUP(Hospedaje!G27,Viajeros!$A$3:$F$102,6,FALSE),0)</f>
        <v>1</v>
      </c>
      <c r="F27" s="9">
        <f>IFERROR(VLOOKUP(Hospedaje!H27,Viajeros!$A$3:$F$102,6,FALSE),0)</f>
        <v>1</v>
      </c>
      <c r="G27" s="9">
        <f>IFERROR(VLOOKUP(Hospedaje!I27,Viajeros!$A$3:$F$102,6,FALSE),0)</f>
        <v>1</v>
      </c>
      <c r="H27" s="9">
        <f>IFERROR(VLOOKUP(Hospedaje!J27,Viajeros!$A$3:$F$102,6,FALSE),0)</f>
        <v>0</v>
      </c>
      <c r="I27" s="9">
        <f>IFERROR(VLOOKUP(Hospedaje!K27,Viajeros!$A$3:$F$102,6,FALSE),0)</f>
        <v>0</v>
      </c>
      <c r="J27" s="9">
        <f>IFERROR(VLOOKUP(Hospedaje!L27,Viajeros!$A$3:$F$102,6,FALSE),0)</f>
        <v>0</v>
      </c>
      <c r="K27" s="9">
        <f>IFERROR(VLOOKUP(Hospedaje!M27,Viajeros!$A$3:$F$102,6,FALSE),0)</f>
        <v>0</v>
      </c>
      <c r="L27" s="9">
        <f>IFERROR(VLOOKUP(Hospedaje!N27,Viajeros!$A$3:$F$102,6,FALSE),0)</f>
        <v>0</v>
      </c>
      <c r="M27" s="9">
        <f>IFERROR(VLOOKUP(Hospedaje!O27,Viajeros!$A$3:$F$102,6,FALSE),0)</f>
        <v>0</v>
      </c>
      <c r="N27" s="9">
        <f>IFERROR(VLOOKUP(Hospedaje!P27,Viajeros!$A$3:$F$102,6,FALSE),0)</f>
        <v>0</v>
      </c>
      <c r="O27" s="9">
        <f>IFERROR(VLOOKUP(Hospedaje!Q27,Viajeros!$A$3:$F$102,6,FALSE),0)</f>
        <v>0</v>
      </c>
      <c r="P27" s="9">
        <f>IFERROR(VLOOKUP(Hospedaje!R27,Viajeros!$A$3:$F$102,6,FALSE),0)</f>
        <v>0</v>
      </c>
      <c r="Q27" s="9">
        <f>IFERROR(VLOOKUP(Hospedaje!S27,Viajeros!$A$3:$F$102,6,FALSE),0)</f>
        <v>0</v>
      </c>
    </row>
    <row r="28">
      <c r="A28" s="9" t="str">
        <f>Caravana!A30</f>
        <v>Real</v>
      </c>
      <c r="B28" s="9">
        <f t="shared" si="2"/>
        <v>4</v>
      </c>
      <c r="C28" s="9">
        <f>IFERROR(VLOOKUP(Hospedaje!E28,Viajeros!$A$3:$F$102,6,FALSE),0)</f>
        <v>1</v>
      </c>
      <c r="D28" s="9">
        <f>IFERROR(VLOOKUP(Hospedaje!F28,Viajeros!$A$3:$F$102,6,FALSE),0)</f>
        <v>1</v>
      </c>
      <c r="E28" s="9">
        <f>IFERROR(VLOOKUP(Hospedaje!G28,Viajeros!$A$3:$F$102,6,FALSE),0)</f>
        <v>1</v>
      </c>
      <c r="F28" s="9">
        <f>IFERROR(VLOOKUP(Hospedaje!H28,Viajeros!$A$3:$F$102,6,FALSE),0)</f>
        <v>1</v>
      </c>
      <c r="G28" s="9">
        <f>IFERROR(VLOOKUP(Hospedaje!I28,Viajeros!$A$3:$F$102,6,FALSE),0)</f>
        <v>0</v>
      </c>
      <c r="H28" s="9">
        <f>IFERROR(VLOOKUP(Hospedaje!J28,Viajeros!$A$3:$F$102,6,FALSE),0)</f>
        <v>0</v>
      </c>
      <c r="I28" s="9">
        <f>IFERROR(VLOOKUP(Hospedaje!K28,Viajeros!$A$3:$F$102,6,FALSE),0)</f>
        <v>0</v>
      </c>
      <c r="J28" s="9">
        <f>IFERROR(VLOOKUP(Hospedaje!L28,Viajeros!$A$3:$F$102,6,FALSE),0)</f>
        <v>0</v>
      </c>
      <c r="K28" s="9">
        <f>IFERROR(VLOOKUP(Hospedaje!M28,Viajeros!$A$3:$F$102,6,FALSE),0)</f>
        <v>0</v>
      </c>
      <c r="L28" s="9">
        <f>IFERROR(VLOOKUP(Hospedaje!N28,Viajeros!$A$3:$F$102,6,FALSE),0)</f>
        <v>0</v>
      </c>
      <c r="M28" s="9">
        <f>IFERROR(VLOOKUP(Hospedaje!O28,Viajeros!$A$3:$F$102,6,FALSE),0)</f>
        <v>0</v>
      </c>
      <c r="N28" s="9">
        <f>IFERROR(VLOOKUP(Hospedaje!P28,Viajeros!$A$3:$F$102,6,FALSE),0)</f>
        <v>0</v>
      </c>
      <c r="O28" s="9">
        <f>IFERROR(VLOOKUP(Hospedaje!Q28,Viajeros!$A$3:$F$102,6,FALSE),0)</f>
        <v>0</v>
      </c>
      <c r="P28" s="9">
        <f>IFERROR(VLOOKUP(Hospedaje!R28,Viajeros!$A$3:$F$102,6,FALSE),0)</f>
        <v>0</v>
      </c>
      <c r="Q28" s="9">
        <f>IFERROR(VLOOKUP(Hospedaje!S28,Viajeros!$A$3:$F$102,6,FALSE),0)</f>
        <v>0</v>
      </c>
    </row>
    <row r="29">
      <c r="A29" s="9" t="str">
        <f>Caravana!A31</f>
        <v>Viajeros grande</v>
      </c>
      <c r="B29" s="9">
        <f t="shared" si="2"/>
        <v>9</v>
      </c>
      <c r="C29" s="9">
        <f>IFERROR(VLOOKUP(Hospedaje!E29,Viajeros!$A$3:$F$102,6,FALSE),0)</f>
        <v>1</v>
      </c>
      <c r="D29" s="9">
        <f>IFERROR(VLOOKUP(Hospedaje!F29,Viajeros!$A$3:$F$102,6,FALSE),0)</f>
        <v>1</v>
      </c>
      <c r="E29" s="9">
        <f>IFERROR(VLOOKUP(Hospedaje!G29,Viajeros!$A$3:$F$102,6,FALSE),0)</f>
        <v>1</v>
      </c>
      <c r="F29" s="9">
        <f>IFERROR(VLOOKUP(Hospedaje!H29,Viajeros!$A$3:$F$102,6,FALSE),0)</f>
        <v>1</v>
      </c>
      <c r="G29" s="9">
        <f>IFERROR(VLOOKUP(Hospedaje!I29,Viajeros!$A$3:$F$102,6,FALSE),0)</f>
        <v>1</v>
      </c>
      <c r="H29" s="9">
        <f>IFERROR(VLOOKUP(Hospedaje!J29,Viajeros!$A$3:$F$102,6,FALSE),0)</f>
        <v>1</v>
      </c>
      <c r="I29" s="9">
        <f>IFERROR(VLOOKUP(Hospedaje!K29,Viajeros!$A$3:$F$102,6,FALSE),0)</f>
        <v>1</v>
      </c>
      <c r="J29" s="9">
        <f>IFERROR(VLOOKUP(Hospedaje!L29,Viajeros!$A$3:$F$102,6,FALSE),0)</f>
        <v>1</v>
      </c>
      <c r="K29" s="9">
        <f>IFERROR(VLOOKUP(Hospedaje!M29,Viajeros!$A$3:$F$102,6,FALSE),0)</f>
        <v>1</v>
      </c>
      <c r="L29" s="9">
        <f>IFERROR(VLOOKUP(Hospedaje!N29,Viajeros!$A$3:$F$102,6,FALSE),0)</f>
        <v>0</v>
      </c>
      <c r="M29" s="9">
        <f>IFERROR(VLOOKUP(Hospedaje!O29,Viajeros!$A$3:$F$102,6,FALSE),0)</f>
        <v>0</v>
      </c>
      <c r="N29" s="9">
        <f>IFERROR(VLOOKUP(Hospedaje!P29,Viajeros!$A$3:$F$102,6,FALSE),0)</f>
        <v>0</v>
      </c>
      <c r="O29" s="9">
        <f>IFERROR(VLOOKUP(Hospedaje!Q29,Viajeros!$A$3:$F$102,6,FALSE),0)</f>
        <v>0</v>
      </c>
      <c r="P29" s="9">
        <f>IFERROR(VLOOKUP(Hospedaje!R29,Viajeros!$A$3:$F$102,6,FALSE),0)</f>
        <v>0</v>
      </c>
      <c r="Q29" s="9">
        <f>IFERROR(VLOOKUP(Hospedaje!S29,Viajeros!$A$3:$F$102,6,FALSE),0)</f>
        <v>0</v>
      </c>
    </row>
    <row r="30">
      <c r="A30" s="9" t="str">
        <f>Caravana!A32</f>
        <v/>
      </c>
      <c r="B30" s="9">
        <f t="shared" si="2"/>
        <v>0</v>
      </c>
      <c r="C30" s="9">
        <f>IFERROR(VLOOKUP(Hospedaje!E30,Viajeros!$A$3:$F$102,6,FALSE),0)</f>
        <v>0</v>
      </c>
      <c r="D30" s="9">
        <f>IFERROR(VLOOKUP(Hospedaje!F30,Viajeros!$A$3:$F$102,6,FALSE),0)</f>
        <v>0</v>
      </c>
      <c r="E30" s="9">
        <f>IFERROR(VLOOKUP(Hospedaje!G30,Viajeros!$A$3:$F$102,6,FALSE),0)</f>
        <v>0</v>
      </c>
      <c r="F30" s="9">
        <f>IFERROR(VLOOKUP(Hospedaje!H30,Viajeros!$A$3:$F$102,6,FALSE),0)</f>
        <v>0</v>
      </c>
      <c r="G30" s="9">
        <f>IFERROR(VLOOKUP(Hospedaje!I30,Viajeros!$A$3:$F$102,6,FALSE),0)</f>
        <v>0</v>
      </c>
      <c r="H30" s="9">
        <f>IFERROR(VLOOKUP(Hospedaje!J30,Viajeros!$A$3:$F$102,6,FALSE),0)</f>
        <v>0</v>
      </c>
      <c r="I30" s="9">
        <f>IFERROR(VLOOKUP(Hospedaje!K30,Viajeros!$A$3:$F$102,6,FALSE),0)</f>
        <v>0</v>
      </c>
      <c r="J30" s="9">
        <f>IFERROR(VLOOKUP(Hospedaje!L30,Viajeros!$A$3:$F$102,6,FALSE),0)</f>
        <v>0</v>
      </c>
      <c r="K30" s="9">
        <f>IFERROR(VLOOKUP(Hospedaje!M30,Viajeros!$A$3:$F$102,6,FALSE),0)</f>
        <v>0</v>
      </c>
      <c r="L30" s="9">
        <f>IFERROR(VLOOKUP(Hospedaje!N30,Viajeros!$A$3:$F$102,6,FALSE),0)</f>
        <v>0</v>
      </c>
      <c r="M30" s="9">
        <f>IFERROR(VLOOKUP(Hospedaje!O30,Viajeros!$A$3:$F$102,6,FALSE),0)</f>
        <v>0</v>
      </c>
      <c r="N30" s="9">
        <f>IFERROR(VLOOKUP(Hospedaje!P30,Viajeros!$A$3:$F$102,6,FALSE),0)</f>
        <v>0</v>
      </c>
      <c r="O30" s="9">
        <f>IFERROR(VLOOKUP(Hospedaje!Q30,Viajeros!$A$3:$F$102,6,FALSE),0)</f>
        <v>0</v>
      </c>
      <c r="P30" s="9">
        <f>IFERROR(VLOOKUP(Hospedaje!R30,Viajeros!$A$3:$F$102,6,FALSE),0)</f>
        <v>0</v>
      </c>
      <c r="Q30" s="9">
        <f>IFERROR(VLOOKUP(Hospedaje!S30,Viajeros!$A$3:$F$102,6,FALSE),0)</f>
        <v>0</v>
      </c>
    </row>
    <row r="31">
      <c r="A31" s="9" t="str">
        <f>Caravana!A33</f>
        <v/>
      </c>
      <c r="B31" s="9">
        <f t="shared" si="2"/>
        <v>0</v>
      </c>
      <c r="C31" s="9">
        <f>IFERROR(VLOOKUP(Hospedaje!E31,Viajeros!$A$3:$F$102,6,FALSE),0)</f>
        <v>0</v>
      </c>
      <c r="D31" s="9">
        <f>IFERROR(VLOOKUP(Hospedaje!F31,Viajeros!$A$3:$F$102,6,FALSE),0)</f>
        <v>0</v>
      </c>
      <c r="E31" s="9">
        <f>IFERROR(VLOOKUP(Hospedaje!G31,Viajeros!$A$3:$F$102,6,FALSE),0)</f>
        <v>0</v>
      </c>
      <c r="F31" s="9">
        <f>IFERROR(VLOOKUP(Hospedaje!H31,Viajeros!$A$3:$F$102,6,FALSE),0)</f>
        <v>0</v>
      </c>
      <c r="G31" s="9">
        <f>IFERROR(VLOOKUP(Hospedaje!I31,Viajeros!$A$3:$F$102,6,FALSE),0)</f>
        <v>0</v>
      </c>
      <c r="H31" s="9">
        <f>IFERROR(VLOOKUP(Hospedaje!J31,Viajeros!$A$3:$F$102,6,FALSE),0)</f>
        <v>0</v>
      </c>
      <c r="I31" s="9">
        <f>IFERROR(VLOOKUP(Hospedaje!K31,Viajeros!$A$3:$F$102,6,FALSE),0)</f>
        <v>0</v>
      </c>
      <c r="J31" s="9">
        <f>IFERROR(VLOOKUP(Hospedaje!L31,Viajeros!$A$3:$F$102,6,FALSE),0)</f>
        <v>0</v>
      </c>
      <c r="K31" s="9">
        <f>IFERROR(VLOOKUP(Hospedaje!M31,Viajeros!$A$3:$F$102,6,FALSE),0)</f>
        <v>0</v>
      </c>
      <c r="L31" s="9">
        <f>IFERROR(VLOOKUP(Hospedaje!N31,Viajeros!$A$3:$F$102,6,FALSE),0)</f>
        <v>0</v>
      </c>
      <c r="M31" s="9">
        <f>IFERROR(VLOOKUP(Hospedaje!O31,Viajeros!$A$3:$F$102,6,FALSE),0)</f>
        <v>0</v>
      </c>
      <c r="N31" s="9">
        <f>IFERROR(VLOOKUP(Hospedaje!P31,Viajeros!$A$3:$F$102,6,FALSE),0)</f>
        <v>0</v>
      </c>
      <c r="O31" s="9">
        <f>IFERROR(VLOOKUP(Hospedaje!Q31,Viajeros!$A$3:$F$102,6,FALSE),0)</f>
        <v>0</v>
      </c>
      <c r="P31" s="9">
        <f>IFERROR(VLOOKUP(Hospedaje!R31,Viajeros!$A$3:$F$102,6,FALSE),0)</f>
        <v>0</v>
      </c>
      <c r="Q31" s="9">
        <f>IFERROR(VLOOKUP(Hospedaje!S31,Viajeros!$A$3:$F$102,6,FALSE),0)</f>
        <v>0</v>
      </c>
    </row>
    <row r="32">
      <c r="A32" s="9" t="str">
        <f>Caravana!A34</f>
        <v/>
      </c>
      <c r="B32" s="9">
        <f t="shared" si="2"/>
        <v>0</v>
      </c>
      <c r="C32" s="9">
        <f>IFERROR(VLOOKUP(Hospedaje!E32,Viajeros!$A$3:$F$102,6,FALSE),0)</f>
        <v>0</v>
      </c>
      <c r="D32" s="9">
        <f>IFERROR(VLOOKUP(Hospedaje!F32,Viajeros!$A$3:$F$102,6,FALSE),0)</f>
        <v>0</v>
      </c>
      <c r="E32" s="9">
        <f>IFERROR(VLOOKUP(Hospedaje!G32,Viajeros!$A$3:$F$102,6,FALSE),0)</f>
        <v>0</v>
      </c>
      <c r="F32" s="9">
        <f>IFERROR(VLOOKUP(Hospedaje!H32,Viajeros!$A$3:$F$102,6,FALSE),0)</f>
        <v>0</v>
      </c>
      <c r="G32" s="9">
        <f>IFERROR(VLOOKUP(Hospedaje!I32,Viajeros!$A$3:$F$102,6,FALSE),0)</f>
        <v>0</v>
      </c>
      <c r="H32" s="9">
        <f>IFERROR(VLOOKUP(Hospedaje!J32,Viajeros!$A$3:$F$102,6,FALSE),0)</f>
        <v>0</v>
      </c>
      <c r="I32" s="9">
        <f>IFERROR(VLOOKUP(Hospedaje!K32,Viajeros!$A$3:$F$102,6,FALSE),0)</f>
        <v>0</v>
      </c>
      <c r="J32" s="9">
        <f>IFERROR(VLOOKUP(Hospedaje!L32,Viajeros!$A$3:$F$102,6,FALSE),0)</f>
        <v>0</v>
      </c>
      <c r="K32" s="9">
        <f>IFERROR(VLOOKUP(Hospedaje!M32,Viajeros!$A$3:$F$102,6,FALSE),0)</f>
        <v>0</v>
      </c>
      <c r="L32" s="9">
        <f>IFERROR(VLOOKUP(Hospedaje!N32,Viajeros!$A$3:$F$102,6,FALSE),0)</f>
        <v>0</v>
      </c>
      <c r="M32" s="9">
        <f>IFERROR(VLOOKUP(Hospedaje!O32,Viajeros!$A$3:$F$102,6,FALSE),0)</f>
        <v>0</v>
      </c>
      <c r="N32" s="9">
        <f>IFERROR(VLOOKUP(Hospedaje!P32,Viajeros!$A$3:$F$102,6,FALSE),0)</f>
        <v>0</v>
      </c>
      <c r="O32" s="9">
        <f>IFERROR(VLOOKUP(Hospedaje!Q32,Viajeros!$A$3:$F$102,6,FALSE),0)</f>
        <v>0</v>
      </c>
      <c r="P32" s="9">
        <f>IFERROR(VLOOKUP(Hospedaje!R32,Viajeros!$A$3:$F$102,6,FALSE),0)</f>
        <v>0</v>
      </c>
      <c r="Q32" s="9">
        <f>IFERROR(VLOOKUP(Hospedaje!S32,Viajeros!$A$3:$F$102,6,FALSE),0)</f>
        <v>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7</v>
      </c>
      <c r="B1" s="33" t="s">
        <v>347</v>
      </c>
      <c r="C1" s="33">
        <v>1.0</v>
      </c>
      <c r="D1" s="33">
        <f t="shared" ref="D1:J1" si="1">C1+1</f>
        <v>2</v>
      </c>
      <c r="E1" s="33">
        <f t="shared" si="1"/>
        <v>3</v>
      </c>
      <c r="F1" s="33">
        <f t="shared" si="1"/>
        <v>4</v>
      </c>
      <c r="G1" s="33">
        <f t="shared" si="1"/>
        <v>5</v>
      </c>
      <c r="H1" s="33">
        <f t="shared" si="1"/>
        <v>6</v>
      </c>
      <c r="I1" s="33">
        <f t="shared" si="1"/>
        <v>7</v>
      </c>
      <c r="J1" s="33">
        <f t="shared" si="1"/>
        <v>8</v>
      </c>
    </row>
    <row r="2">
      <c r="A2" s="9" t="str">
        <f>Caravana!A4</f>
        <v>Viajeros 1</v>
      </c>
      <c r="B2" s="9">
        <f t="shared" ref="B2:B32" si="2">SUM(C2:J2)</f>
        <v>28</v>
      </c>
      <c r="C2" s="9">
        <f>IFERROR(VLOOKUP(Tiro!G2,'Lista Bestias Carga'!$A$1:$F$17,3,FALSE),0)</f>
        <v>14</v>
      </c>
      <c r="D2" s="9">
        <f>IFERROR(VLOOKUP(Tiro!H2,'Lista Bestias Carga'!$A$1:$F$17,3,FALSE),0)</f>
        <v>14</v>
      </c>
      <c r="E2" s="9">
        <f>IFERROR(VLOOKUP(Tiro!I2,'Lista Bestias Carga'!$A$1:$F$17,3,FALSE),0)</f>
        <v>0</v>
      </c>
      <c r="F2" s="9">
        <f>IFERROR(VLOOKUP(Tiro!J2,'Lista Bestias Carga'!$A$1:$F$17,3,FALSE),0)</f>
        <v>0</v>
      </c>
      <c r="G2" s="9">
        <f>IFERROR(VLOOKUP(Tiro!K2,'Lista Bestias Carga'!$A$1:$F$17,3,FALSE),0)</f>
        <v>0</v>
      </c>
      <c r="H2" s="9">
        <f>IFERROR(VLOOKUP(Tiro!L2,'Lista Bestias Carga'!$A$1:$F$17,3,FALSE),0)</f>
        <v>0</v>
      </c>
      <c r="I2" s="9">
        <f>IFERROR(VLOOKUP(Tiro!M2,'Lista Bestias Carga'!$A$1:$F$17,3,FALSE),0)</f>
        <v>0</v>
      </c>
      <c r="J2" s="9">
        <f>IFERROR(VLOOKUP(Tiro!N2,'Lista Bestias Carga'!$A$1:$F$17,3,FALSE),0)</f>
        <v>0</v>
      </c>
    </row>
    <row r="3">
      <c r="A3" s="9" t="str">
        <f>Caravana!A5</f>
        <v>Viajeros 2</v>
      </c>
      <c r="B3" s="9">
        <f t="shared" si="2"/>
        <v>28</v>
      </c>
      <c r="C3" s="9">
        <f>IFERROR(VLOOKUP(Tiro!G3,'Lista Bestias Carga'!$A$1:$F$17,3,FALSE),0)</f>
        <v>14</v>
      </c>
      <c r="D3" s="9">
        <f>IFERROR(VLOOKUP(Tiro!H3,'Lista Bestias Carga'!$A$1:$F$17,3,FALSE),0)</f>
        <v>14</v>
      </c>
      <c r="E3" s="9">
        <f>IFERROR(VLOOKUP(Tiro!I3,'Lista Bestias Carga'!$A$1:$F$17,3,FALSE),0)</f>
        <v>0</v>
      </c>
      <c r="F3" s="9">
        <f>IFERROR(VLOOKUP(Tiro!J3,'Lista Bestias Carga'!$A$1:$F$17,3,FALSE),0)</f>
        <v>0</v>
      </c>
      <c r="G3" s="9">
        <f>IFERROR(VLOOKUP(Tiro!K3,'Lista Bestias Carga'!$A$1:$F$17,3,FALSE),0)</f>
        <v>0</v>
      </c>
      <c r="H3" s="9">
        <f>IFERROR(VLOOKUP(Tiro!L3,'Lista Bestias Carga'!$A$1:$F$17,3,FALSE),0)</f>
        <v>0</v>
      </c>
      <c r="I3" s="9">
        <f>IFERROR(VLOOKUP(Tiro!M3,'Lista Bestias Carga'!$A$1:$F$17,3,FALSE),0)</f>
        <v>0</v>
      </c>
      <c r="J3" s="9">
        <f>IFERROR(VLOOKUP(Tiro!N3,'Lista Bestias Carga'!$A$1:$F$17,3,FALSE),0)</f>
        <v>0</v>
      </c>
    </row>
    <row r="4">
      <c r="A4" s="9" t="str">
        <f>Caravana!A6</f>
        <v>Viajeros 3</v>
      </c>
      <c r="B4" s="9">
        <f t="shared" si="2"/>
        <v>28</v>
      </c>
      <c r="C4" s="9">
        <f>IFERROR(VLOOKUP(Tiro!G4,'Lista Bestias Carga'!$A$1:$F$17,3,FALSE),0)</f>
        <v>14</v>
      </c>
      <c r="D4" s="9">
        <f>IFERROR(VLOOKUP(Tiro!H4,'Lista Bestias Carga'!$A$1:$F$17,3,FALSE),0)</f>
        <v>14</v>
      </c>
      <c r="E4" s="9">
        <f>IFERROR(VLOOKUP(Tiro!I4,'Lista Bestias Carga'!$A$1:$F$17,3,FALSE),0)</f>
        <v>0</v>
      </c>
      <c r="F4" s="9">
        <f>IFERROR(VLOOKUP(Tiro!J4,'Lista Bestias Carga'!$A$1:$F$17,3,FALSE),0)</f>
        <v>0</v>
      </c>
      <c r="G4" s="9">
        <f>IFERROR(VLOOKUP(Tiro!K4,'Lista Bestias Carga'!$A$1:$F$17,3,FALSE),0)</f>
        <v>0</v>
      </c>
      <c r="H4" s="9">
        <f>IFERROR(VLOOKUP(Tiro!L4,'Lista Bestias Carga'!$A$1:$F$17,3,FALSE),0)</f>
        <v>0</v>
      </c>
      <c r="I4" s="9">
        <f>IFERROR(VLOOKUP(Tiro!M4,'Lista Bestias Carga'!$A$1:$F$17,3,FALSE),0)</f>
        <v>0</v>
      </c>
      <c r="J4" s="9">
        <f>IFERROR(VLOOKUP(Tiro!N4,'Lista Bestias Carga'!$A$1:$F$17,3,FALSE),0)</f>
        <v>0</v>
      </c>
    </row>
    <row r="5">
      <c r="A5" s="9" t="str">
        <f>Caravana!A7</f>
        <v>Viajeros 4</v>
      </c>
      <c r="B5" s="9">
        <f t="shared" si="2"/>
        <v>28</v>
      </c>
      <c r="C5" s="9">
        <f>IFERROR(VLOOKUP(Tiro!G5,'Lista Bestias Carga'!$A$1:$F$17,3,FALSE),0)</f>
        <v>14</v>
      </c>
      <c r="D5" s="9">
        <f>IFERROR(VLOOKUP(Tiro!H5,'Lista Bestias Carga'!$A$1:$F$17,3,FALSE),0)</f>
        <v>14</v>
      </c>
      <c r="E5" s="9">
        <f>IFERROR(VLOOKUP(Tiro!I5,'Lista Bestias Carga'!$A$1:$F$17,3,FALSE),0)</f>
        <v>0</v>
      </c>
      <c r="F5" s="9">
        <f>IFERROR(VLOOKUP(Tiro!J5,'Lista Bestias Carga'!$A$1:$F$17,3,FALSE),0)</f>
        <v>0</v>
      </c>
      <c r="G5" s="9">
        <f>IFERROR(VLOOKUP(Tiro!K5,'Lista Bestias Carga'!$A$1:$F$17,3,FALSE),0)</f>
        <v>0</v>
      </c>
      <c r="H5" s="9">
        <f>IFERROR(VLOOKUP(Tiro!L5,'Lista Bestias Carga'!$A$1:$F$17,3,FALSE),0)</f>
        <v>0</v>
      </c>
      <c r="I5" s="9">
        <f>IFERROR(VLOOKUP(Tiro!M5,'Lista Bestias Carga'!$A$1:$F$17,3,FALSE),0)</f>
        <v>0</v>
      </c>
      <c r="J5" s="9">
        <f>IFERROR(VLOOKUP(Tiro!N5,'Lista Bestias Carga'!$A$1:$F$17,3,FALSE),0)</f>
        <v>0</v>
      </c>
    </row>
    <row r="6">
      <c r="A6" s="9" t="str">
        <f>Caravana!A8</f>
        <v>Viajeros 5</v>
      </c>
      <c r="B6" s="9">
        <f t="shared" si="2"/>
        <v>28</v>
      </c>
      <c r="C6" s="9">
        <f>IFERROR(VLOOKUP(Tiro!G6,'Lista Bestias Carga'!$A$1:$F$17,3,FALSE),0)</f>
        <v>14</v>
      </c>
      <c r="D6" s="9">
        <f>IFERROR(VLOOKUP(Tiro!H6,'Lista Bestias Carga'!$A$1:$F$17,3,FALSE),0)</f>
        <v>14</v>
      </c>
      <c r="E6" s="9">
        <f>IFERROR(VLOOKUP(Tiro!I6,'Lista Bestias Carga'!$A$1:$F$17,3,FALSE),0)</f>
        <v>0</v>
      </c>
      <c r="F6" s="9">
        <f>IFERROR(VLOOKUP(Tiro!J6,'Lista Bestias Carga'!$A$1:$F$17,3,FALSE),0)</f>
        <v>0</v>
      </c>
      <c r="G6" s="9">
        <f>IFERROR(VLOOKUP(Tiro!K6,'Lista Bestias Carga'!$A$1:$F$17,3,FALSE),0)</f>
        <v>0</v>
      </c>
      <c r="H6" s="9">
        <f>IFERROR(VLOOKUP(Tiro!L6,'Lista Bestias Carga'!$A$1:$F$17,3,FALSE),0)</f>
        <v>0</v>
      </c>
      <c r="I6" s="9">
        <f>IFERROR(VLOOKUP(Tiro!M6,'Lista Bestias Carga'!$A$1:$F$17,3,FALSE),0)</f>
        <v>0</v>
      </c>
      <c r="J6" s="9">
        <f>IFERROR(VLOOKUP(Tiro!N6,'Lista Bestias Carga'!$A$1:$F$17,3,FALSE),0)</f>
        <v>0</v>
      </c>
    </row>
    <row r="7">
      <c r="A7" s="9" t="str">
        <f>Caravana!A9</f>
        <v>Prisioneros</v>
      </c>
      <c r="B7" s="9">
        <f t="shared" si="2"/>
        <v>14</v>
      </c>
      <c r="C7" s="9">
        <f>IFERROR(VLOOKUP(Tiro!G7,'Lista Bestias Carga'!$A$1:$F$17,3,FALSE),0)</f>
        <v>14</v>
      </c>
      <c r="D7" s="9">
        <f>IFERROR(VLOOKUP(Tiro!H7,'Lista Bestias Carga'!$A$1:$F$17,3,FALSE),0)</f>
        <v>0</v>
      </c>
      <c r="E7" s="9">
        <f>IFERROR(VLOOKUP(Tiro!I7,'Lista Bestias Carga'!$A$1:$F$17,3,FALSE),0)</f>
        <v>0</v>
      </c>
      <c r="F7" s="9">
        <f>IFERROR(VLOOKUP(Tiro!J7,'Lista Bestias Carga'!$A$1:$F$17,3,FALSE),0)</f>
        <v>0</v>
      </c>
      <c r="G7" s="9">
        <f>IFERROR(VLOOKUP(Tiro!K7,'Lista Bestias Carga'!$A$1:$F$17,3,FALSE),0)</f>
        <v>0</v>
      </c>
      <c r="H7" s="9">
        <f>IFERROR(VLOOKUP(Tiro!L7,'Lista Bestias Carga'!$A$1:$F$17,3,FALSE),0)</f>
        <v>0</v>
      </c>
      <c r="I7" s="9">
        <f>IFERROR(VLOOKUP(Tiro!M7,'Lista Bestias Carga'!$A$1:$F$17,3,FALSE),0)</f>
        <v>0</v>
      </c>
      <c r="J7" s="9">
        <f>IFERROR(VLOOKUP(Tiro!N7,'Lista Bestias Carga'!$A$1:$F$17,3,FALSE),0)</f>
        <v>0</v>
      </c>
    </row>
    <row r="8">
      <c r="A8" s="9" t="str">
        <f>Caravana!A10</f>
        <v>Zoo</v>
      </c>
      <c r="B8" s="9">
        <f t="shared" si="2"/>
        <v>14</v>
      </c>
      <c r="C8" s="9">
        <f>IFERROR(VLOOKUP(Tiro!G8,'Lista Bestias Carga'!$A$1:$F$17,3,FALSE),0)</f>
        <v>14</v>
      </c>
      <c r="D8" s="9">
        <f>IFERROR(VLOOKUP(Tiro!H8,'Lista Bestias Carga'!$A$1:$F$17,3,FALSE),0)</f>
        <v>0</v>
      </c>
      <c r="E8" s="9">
        <f>IFERROR(VLOOKUP(Tiro!I8,'Lista Bestias Carga'!$A$1:$F$17,3,FALSE),0)</f>
        <v>0</v>
      </c>
      <c r="F8" s="9">
        <f>IFERROR(VLOOKUP(Tiro!J8,'Lista Bestias Carga'!$A$1:$F$17,3,FALSE),0)</f>
        <v>0</v>
      </c>
      <c r="G8" s="9">
        <f>IFERROR(VLOOKUP(Tiro!K8,'Lista Bestias Carga'!$A$1:$F$17,3,FALSE),0)</f>
        <v>0</v>
      </c>
      <c r="H8" s="9">
        <f>IFERROR(VLOOKUP(Tiro!L8,'Lista Bestias Carga'!$A$1:$F$17,3,FALSE),0)</f>
        <v>0</v>
      </c>
      <c r="I8" s="9">
        <f>IFERROR(VLOOKUP(Tiro!M8,'Lista Bestias Carga'!$A$1:$F$17,3,FALSE),0)</f>
        <v>0</v>
      </c>
      <c r="J8" s="9">
        <f>IFERROR(VLOOKUP(Tiro!N8,'Lista Bestias Carga'!$A$1:$F$17,3,FALSE),0)</f>
        <v>0</v>
      </c>
    </row>
    <row r="9">
      <c r="A9" s="9" t="str">
        <f>Caravana!A11</f>
        <v>Familias Kalsgard</v>
      </c>
      <c r="B9" s="9">
        <f t="shared" si="2"/>
        <v>28</v>
      </c>
      <c r="C9" s="9">
        <f>IFERROR(VLOOKUP(Tiro!G9,'Lista Bestias Carga'!$A$1:$F$17,3,FALSE),0)</f>
        <v>14</v>
      </c>
      <c r="D9" s="9">
        <f>IFERROR(VLOOKUP(Tiro!H9,'Lista Bestias Carga'!$A$1:$F$17,3,FALSE),0)</f>
        <v>14</v>
      </c>
      <c r="E9" s="9">
        <f>IFERROR(VLOOKUP(Tiro!I9,'Lista Bestias Carga'!$A$1:$F$17,3,FALSE),0)</f>
        <v>0</v>
      </c>
      <c r="F9" s="9">
        <f>IFERROR(VLOOKUP(Tiro!J9,'Lista Bestias Carga'!$A$1:$F$17,3,FALSE),0)</f>
        <v>0</v>
      </c>
      <c r="G9" s="9">
        <f>IFERROR(VLOOKUP(Tiro!K9,'Lista Bestias Carga'!$A$1:$F$17,3,FALSE),0)</f>
        <v>0</v>
      </c>
      <c r="H9" s="9">
        <f>IFERROR(VLOOKUP(Tiro!L9,'Lista Bestias Carga'!$A$1:$F$17,3,FALSE),0)</f>
        <v>0</v>
      </c>
      <c r="I9" s="9">
        <f>IFERROR(VLOOKUP(Tiro!M9,'Lista Bestias Carga'!$A$1:$F$17,3,FALSE),0)</f>
        <v>0</v>
      </c>
      <c r="J9" s="9">
        <f>IFERROR(VLOOKUP(Tiro!N9,'Lista Bestias Carga'!$A$1:$F$17,3,FALSE),0)</f>
        <v>0</v>
      </c>
    </row>
    <row r="10">
      <c r="A10" s="9" t="str">
        <f>Caravana!A12</f>
        <v>Mercancías Hierro</v>
      </c>
      <c r="B10" s="9">
        <f t="shared" si="2"/>
        <v>28</v>
      </c>
      <c r="C10" s="9">
        <f>IFERROR(VLOOKUP(Tiro!G10,'Lista Bestias Carga'!$A$1:$F$17,3,FALSE),0)</f>
        <v>14</v>
      </c>
      <c r="D10" s="9">
        <f>IFERROR(VLOOKUP(Tiro!H10,'Lista Bestias Carga'!$A$1:$F$17,3,FALSE),0)</f>
        <v>14</v>
      </c>
      <c r="E10" s="9">
        <f>IFERROR(VLOOKUP(Tiro!I10,'Lista Bestias Carga'!$A$1:$F$17,3,FALSE),0)</f>
        <v>0</v>
      </c>
      <c r="F10" s="9">
        <f>IFERROR(VLOOKUP(Tiro!J10,'Lista Bestias Carga'!$A$1:$F$17,3,FALSE),0)</f>
        <v>0</v>
      </c>
      <c r="G10" s="9">
        <f>IFERROR(VLOOKUP(Tiro!K10,'Lista Bestias Carga'!$A$1:$F$17,3,FALSE),0)</f>
        <v>0</v>
      </c>
      <c r="H10" s="9">
        <f>IFERROR(VLOOKUP(Tiro!L10,'Lista Bestias Carga'!$A$1:$F$17,3,FALSE),0)</f>
        <v>0</v>
      </c>
      <c r="I10" s="9">
        <f>IFERROR(VLOOKUP(Tiro!M10,'Lista Bestias Carga'!$A$1:$F$17,3,FALSE),0)</f>
        <v>0</v>
      </c>
      <c r="J10" s="9">
        <f>IFERROR(VLOOKUP(Tiro!N10,'Lista Bestias Carga'!$A$1:$F$17,3,FALSE),0)</f>
        <v>0</v>
      </c>
    </row>
    <row r="11">
      <c r="A11" s="9" t="str">
        <f>Caravana!A13</f>
        <v>Mercancías General</v>
      </c>
      <c r="B11" s="9">
        <f t="shared" si="2"/>
        <v>28</v>
      </c>
      <c r="C11" s="9">
        <f>IFERROR(VLOOKUP(Tiro!G11,'Lista Bestias Carga'!$A$1:$F$17,3,FALSE),0)</f>
        <v>14</v>
      </c>
      <c r="D11" s="9">
        <f>IFERROR(VLOOKUP(Tiro!H11,'Lista Bestias Carga'!$A$1:$F$17,3,FALSE),0)</f>
        <v>14</v>
      </c>
      <c r="E11" s="9">
        <f>IFERROR(VLOOKUP(Tiro!I11,'Lista Bestias Carga'!$A$1:$F$17,3,FALSE),0)</f>
        <v>0</v>
      </c>
      <c r="F11" s="9">
        <f>IFERROR(VLOOKUP(Tiro!J11,'Lista Bestias Carga'!$A$1:$F$17,3,FALSE),0)</f>
        <v>0</v>
      </c>
      <c r="G11" s="9">
        <f>IFERROR(VLOOKUP(Tiro!K11,'Lista Bestias Carga'!$A$1:$F$17,3,FALSE),0)</f>
        <v>0</v>
      </c>
      <c r="H11" s="9">
        <f>IFERROR(VLOOKUP(Tiro!L11,'Lista Bestias Carga'!$A$1:$F$17,3,FALSE),0)</f>
        <v>0</v>
      </c>
      <c r="I11" s="9">
        <f>IFERROR(VLOOKUP(Tiro!M11,'Lista Bestias Carga'!$A$1:$F$17,3,FALSE),0)</f>
        <v>0</v>
      </c>
      <c r="J11" s="9">
        <f>IFERROR(VLOOKUP(Tiro!N11,'Lista Bestias Carga'!$A$1:$F$17,3,FALSE),0)</f>
        <v>0</v>
      </c>
    </row>
    <row r="12">
      <c r="A12" s="9" t="str">
        <f>Caravana!A14</f>
        <v>Mercancías Punta Arena</v>
      </c>
      <c r="B12" s="9">
        <f t="shared" si="2"/>
        <v>28</v>
      </c>
      <c r="C12" s="9">
        <f>IFERROR(VLOOKUP(Tiro!G12,'Lista Bestias Carga'!$A$1:$F$17,3,FALSE),0)</f>
        <v>14</v>
      </c>
      <c r="D12" s="9">
        <f>IFERROR(VLOOKUP(Tiro!H12,'Lista Bestias Carga'!$A$1:$F$17,3,FALSE),0)</f>
        <v>14</v>
      </c>
      <c r="E12" s="9">
        <f>IFERROR(VLOOKUP(Tiro!I12,'Lista Bestias Carga'!$A$1:$F$17,3,FALSE),0)</f>
        <v>0</v>
      </c>
      <c r="F12" s="9">
        <f>IFERROR(VLOOKUP(Tiro!J12,'Lista Bestias Carga'!$A$1:$F$17,3,FALSE),0)</f>
        <v>0</v>
      </c>
      <c r="G12" s="9">
        <f>IFERROR(VLOOKUP(Tiro!K12,'Lista Bestias Carga'!$A$1:$F$17,3,FALSE),0)</f>
        <v>0</v>
      </c>
      <c r="H12" s="9">
        <f>IFERROR(VLOOKUP(Tiro!L12,'Lista Bestias Carga'!$A$1:$F$17,3,FALSE),0)</f>
        <v>0</v>
      </c>
      <c r="I12" s="9">
        <f>IFERROR(VLOOKUP(Tiro!M12,'Lista Bestias Carga'!$A$1:$F$17,3,FALSE),0)</f>
        <v>0</v>
      </c>
      <c r="J12" s="9">
        <f>IFERROR(VLOOKUP(Tiro!N12,'Lista Bestias Carga'!$A$1:$F$17,3,FALSE),0)</f>
        <v>0</v>
      </c>
    </row>
    <row r="13">
      <c r="A13" s="9" t="str">
        <f>Caravana!A15</f>
        <v>Mercancías Kalsgard</v>
      </c>
      <c r="B13" s="9">
        <f t="shared" si="2"/>
        <v>28</v>
      </c>
      <c r="C13" s="9">
        <f>IFERROR(VLOOKUP(Tiro!G13,'Lista Bestias Carga'!$A$1:$F$17,3,FALSE),0)</f>
        <v>14</v>
      </c>
      <c r="D13" s="9">
        <f>IFERROR(VLOOKUP(Tiro!H13,'Lista Bestias Carga'!$A$1:$F$17,3,FALSE),0)</f>
        <v>14</v>
      </c>
      <c r="E13" s="9">
        <f>IFERROR(VLOOKUP(Tiro!I13,'Lista Bestias Carga'!$A$1:$F$17,3,FALSE),0)</f>
        <v>0</v>
      </c>
      <c r="F13" s="9">
        <f>IFERROR(VLOOKUP(Tiro!J13,'Lista Bestias Carga'!$A$1:$F$17,3,FALSE),0)</f>
        <v>0</v>
      </c>
      <c r="G13" s="9">
        <f>IFERROR(VLOOKUP(Tiro!K13,'Lista Bestias Carga'!$A$1:$F$17,3,FALSE),0)</f>
        <v>0</v>
      </c>
      <c r="H13" s="9">
        <f>IFERROR(VLOOKUP(Tiro!L13,'Lista Bestias Carga'!$A$1:$F$17,3,FALSE),0)</f>
        <v>0</v>
      </c>
      <c r="I13" s="9">
        <f>IFERROR(VLOOKUP(Tiro!M13,'Lista Bestias Carga'!$A$1:$F$17,3,FALSE),0)</f>
        <v>0</v>
      </c>
      <c r="J13" s="9">
        <f>IFERROR(VLOOKUP(Tiro!N13,'Lista Bestias Carga'!$A$1:$F$17,3,FALSE),0)</f>
        <v>0</v>
      </c>
    </row>
    <row r="14">
      <c r="A14" s="9" t="str">
        <f>Caravana!A16</f>
        <v>Carbón</v>
      </c>
      <c r="B14" s="9">
        <f t="shared" si="2"/>
        <v>28</v>
      </c>
      <c r="C14" s="9">
        <f>IFERROR(VLOOKUP(Tiro!G14,'Lista Bestias Carga'!$A$1:$F$17,3,FALSE),0)</f>
        <v>14</v>
      </c>
      <c r="D14" s="9">
        <f>IFERROR(VLOOKUP(Tiro!H14,'Lista Bestias Carga'!$A$1:$F$17,3,FALSE),0)</f>
        <v>14</v>
      </c>
      <c r="E14" s="9">
        <f>IFERROR(VLOOKUP(Tiro!I14,'Lista Bestias Carga'!$A$1:$F$17,3,FALSE),0)</f>
        <v>0</v>
      </c>
      <c r="F14" s="9">
        <f>IFERROR(VLOOKUP(Tiro!J14,'Lista Bestias Carga'!$A$1:$F$17,3,FALSE),0)</f>
        <v>0</v>
      </c>
      <c r="G14" s="9">
        <f>IFERROR(VLOOKUP(Tiro!K14,'Lista Bestias Carga'!$A$1:$F$17,3,FALSE),0)</f>
        <v>0</v>
      </c>
      <c r="H14" s="9">
        <f>IFERROR(VLOOKUP(Tiro!L14,'Lista Bestias Carga'!$A$1:$F$17,3,FALSE),0)</f>
        <v>0</v>
      </c>
      <c r="I14" s="9">
        <f>IFERROR(VLOOKUP(Tiro!M14,'Lista Bestias Carga'!$A$1:$F$17,3,FALSE),0)</f>
        <v>0</v>
      </c>
      <c r="J14" s="9">
        <f>IFERROR(VLOOKUP(Tiro!N14,'Lista Bestias Carga'!$A$1:$F$17,3,FALSE),0)</f>
        <v>0</v>
      </c>
    </row>
    <row r="15">
      <c r="A15" s="9" t="str">
        <f>Caravana!A17</f>
        <v>Queso</v>
      </c>
      <c r="B15" s="9">
        <f t="shared" si="2"/>
        <v>28</v>
      </c>
      <c r="C15" s="9">
        <f>IFERROR(VLOOKUP(Tiro!G15,'Lista Bestias Carga'!$A$1:$F$17,3,FALSE),0)</f>
        <v>14</v>
      </c>
      <c r="D15" s="9">
        <f>IFERROR(VLOOKUP(Tiro!H15,'Lista Bestias Carga'!$A$1:$F$17,3,FALSE),0)</f>
        <v>14</v>
      </c>
      <c r="E15" s="9">
        <f>IFERROR(VLOOKUP(Tiro!I15,'Lista Bestias Carga'!$A$1:$F$17,3,FALSE),0)</f>
        <v>0</v>
      </c>
      <c r="F15" s="9">
        <f>IFERROR(VLOOKUP(Tiro!J15,'Lista Bestias Carga'!$A$1:$F$17,3,FALSE),0)</f>
        <v>0</v>
      </c>
      <c r="G15" s="9">
        <f>IFERROR(VLOOKUP(Tiro!K15,'Lista Bestias Carga'!$A$1:$F$17,3,FALSE),0)</f>
        <v>0</v>
      </c>
      <c r="H15" s="9">
        <f>IFERROR(VLOOKUP(Tiro!L15,'Lista Bestias Carga'!$A$1:$F$17,3,FALSE),0)</f>
        <v>0</v>
      </c>
      <c r="I15" s="9">
        <f>IFERROR(VLOOKUP(Tiro!M15,'Lista Bestias Carga'!$A$1:$F$17,3,FALSE),0)</f>
        <v>0</v>
      </c>
      <c r="J15" s="9">
        <f>IFERROR(VLOOKUP(Tiro!N15,'Lista Bestias Carga'!$A$1:$F$17,3,FALSE),0)</f>
        <v>0</v>
      </c>
    </row>
    <row r="16">
      <c r="A16" s="9" t="str">
        <f>Caravana!A18</f>
        <v>Suministros 1</v>
      </c>
      <c r="B16" s="9">
        <f t="shared" si="2"/>
        <v>28</v>
      </c>
      <c r="C16" s="9">
        <f>IFERROR(VLOOKUP(Tiro!G16,'Lista Bestias Carga'!$A$1:$F$17,3,FALSE),0)</f>
        <v>14</v>
      </c>
      <c r="D16" s="9">
        <f>IFERROR(VLOOKUP(Tiro!H16,'Lista Bestias Carga'!$A$1:$F$17,3,FALSE),0)</f>
        <v>14</v>
      </c>
      <c r="E16" s="9">
        <f>IFERROR(VLOOKUP(Tiro!I16,'Lista Bestias Carga'!$A$1:$F$17,3,FALSE),0)</f>
        <v>0</v>
      </c>
      <c r="F16" s="9">
        <f>IFERROR(VLOOKUP(Tiro!J16,'Lista Bestias Carga'!$A$1:$F$17,3,FALSE),0)</f>
        <v>0</v>
      </c>
      <c r="G16" s="9">
        <f>IFERROR(VLOOKUP(Tiro!K16,'Lista Bestias Carga'!$A$1:$F$17,3,FALSE),0)</f>
        <v>0</v>
      </c>
      <c r="H16" s="9">
        <f>IFERROR(VLOOKUP(Tiro!L16,'Lista Bestias Carga'!$A$1:$F$17,3,FALSE),0)</f>
        <v>0</v>
      </c>
      <c r="I16" s="9">
        <f>IFERROR(VLOOKUP(Tiro!M16,'Lista Bestias Carga'!$A$1:$F$17,3,FALSE),0)</f>
        <v>0</v>
      </c>
      <c r="J16" s="9">
        <f>IFERROR(VLOOKUP(Tiro!N16,'Lista Bestias Carga'!$A$1:$F$17,3,FALSE),0)</f>
        <v>0</v>
      </c>
    </row>
    <row r="17">
      <c r="A17" s="9" t="str">
        <f>Caravana!A19</f>
        <v>Suministros 2</v>
      </c>
      <c r="B17" s="9">
        <f t="shared" si="2"/>
        <v>28</v>
      </c>
      <c r="C17" s="9">
        <f>IFERROR(VLOOKUP(Tiro!G17,'Lista Bestias Carga'!$A$1:$F$17,3,FALSE),0)</f>
        <v>14</v>
      </c>
      <c r="D17" s="9">
        <f>IFERROR(VLOOKUP(Tiro!H17,'Lista Bestias Carga'!$A$1:$F$17,3,FALSE),0)</f>
        <v>14</v>
      </c>
      <c r="E17" s="9">
        <f>IFERROR(VLOOKUP(Tiro!I17,'Lista Bestias Carga'!$A$1:$F$17,3,FALSE),0)</f>
        <v>0</v>
      </c>
      <c r="F17" s="9">
        <f>IFERROR(VLOOKUP(Tiro!J17,'Lista Bestias Carga'!$A$1:$F$17,3,FALSE),0)</f>
        <v>0</v>
      </c>
      <c r="G17" s="9">
        <f>IFERROR(VLOOKUP(Tiro!K17,'Lista Bestias Carga'!$A$1:$F$17,3,FALSE),0)</f>
        <v>0</v>
      </c>
      <c r="H17" s="9">
        <f>IFERROR(VLOOKUP(Tiro!L17,'Lista Bestias Carga'!$A$1:$F$17,3,FALSE),0)</f>
        <v>0</v>
      </c>
      <c r="I17" s="9">
        <f>IFERROR(VLOOKUP(Tiro!M17,'Lista Bestias Carga'!$A$1:$F$17,3,FALSE),0)</f>
        <v>0</v>
      </c>
      <c r="J17" s="9">
        <f>IFERROR(VLOOKUP(Tiro!N17,'Lista Bestias Carga'!$A$1:$F$17,3,FALSE),0)</f>
        <v>0</v>
      </c>
    </row>
    <row r="18">
      <c r="A18" s="9" t="str">
        <f>Caravana!A20</f>
        <v>Koya</v>
      </c>
      <c r="B18" s="9">
        <f t="shared" si="2"/>
        <v>14</v>
      </c>
      <c r="C18" s="9">
        <f>IFERROR(VLOOKUP(Tiro!G18,'Lista Bestias Carga'!$A$1:$F$17,3,FALSE),0)</f>
        <v>14</v>
      </c>
      <c r="D18" s="9">
        <f>IFERROR(VLOOKUP(Tiro!H18,'Lista Bestias Carga'!$A$1:$F$17,3,FALSE),0)</f>
        <v>0</v>
      </c>
      <c r="E18" s="9">
        <f>IFERROR(VLOOKUP(Tiro!I18,'Lista Bestias Carga'!$A$1:$F$17,3,FALSE),0)</f>
        <v>0</v>
      </c>
      <c r="F18" s="9">
        <f>IFERROR(VLOOKUP(Tiro!J18,'Lista Bestias Carga'!$A$1:$F$17,3,FALSE),0)</f>
        <v>0</v>
      </c>
      <c r="G18" s="9">
        <f>IFERROR(VLOOKUP(Tiro!K18,'Lista Bestias Carga'!$A$1:$F$17,3,FALSE),0)</f>
        <v>0</v>
      </c>
      <c r="H18" s="9">
        <f>IFERROR(VLOOKUP(Tiro!L18,'Lista Bestias Carga'!$A$1:$F$17,3,FALSE),0)</f>
        <v>0</v>
      </c>
      <c r="I18" s="9">
        <f>IFERROR(VLOOKUP(Tiro!M18,'Lista Bestias Carga'!$A$1:$F$17,3,FALSE),0)</f>
        <v>0</v>
      </c>
      <c r="J18" s="9">
        <f>IFERROR(VLOOKUP(Tiro!N18,'Lista Bestias Carga'!$A$1:$F$17,3,FALSE),0)</f>
        <v>0</v>
      </c>
    </row>
    <row r="19">
      <c r="A19" s="9" t="str">
        <f>Caravana!A21</f>
        <v>Taller</v>
      </c>
      <c r="B19" s="9">
        <f t="shared" si="2"/>
        <v>28</v>
      </c>
      <c r="C19" s="9">
        <f>IFERROR(VLOOKUP(Tiro!G19,'Lista Bestias Carga'!$A$1:$F$17,3,FALSE),0)</f>
        <v>14</v>
      </c>
      <c r="D19" s="9">
        <f>IFERROR(VLOOKUP(Tiro!H19,'Lista Bestias Carga'!$A$1:$F$17,3,FALSE),0)</f>
        <v>14</v>
      </c>
      <c r="E19" s="9">
        <f>IFERROR(VLOOKUP(Tiro!I19,'Lista Bestias Carga'!$A$1:$F$17,3,FALSE),0)</f>
        <v>0</v>
      </c>
      <c r="F19" s="9">
        <f>IFERROR(VLOOKUP(Tiro!J19,'Lista Bestias Carga'!$A$1:$F$17,3,FALSE),0)</f>
        <v>0</v>
      </c>
      <c r="G19" s="9">
        <f>IFERROR(VLOOKUP(Tiro!K19,'Lista Bestias Carga'!$A$1:$F$17,3,FALSE),0)</f>
        <v>0</v>
      </c>
      <c r="H19" s="9">
        <f>IFERROR(VLOOKUP(Tiro!L19,'Lista Bestias Carga'!$A$1:$F$17,3,FALSE),0)</f>
        <v>0</v>
      </c>
      <c r="I19" s="9">
        <f>IFERROR(VLOOKUP(Tiro!M19,'Lista Bestias Carga'!$A$1:$F$17,3,FALSE),0)</f>
        <v>0</v>
      </c>
      <c r="J19" s="9">
        <f>IFERROR(VLOOKUP(Tiro!N19,'Lista Bestias Carga'!$A$1:$F$17,3,FALSE),0)</f>
        <v>0</v>
      </c>
    </row>
    <row r="20">
      <c r="A20" s="9" t="str">
        <f>Caravana!A22</f>
        <v>Escuela</v>
      </c>
      <c r="B20" s="9">
        <f t="shared" si="2"/>
        <v>28</v>
      </c>
      <c r="C20" s="9">
        <f>IFERROR(VLOOKUP(Tiro!G20,'Lista Bestias Carga'!$A$1:$F$17,3,FALSE),0)</f>
        <v>14</v>
      </c>
      <c r="D20" s="9">
        <f>IFERROR(VLOOKUP(Tiro!H20,'Lista Bestias Carga'!$A$1:$F$17,3,FALSE),0)</f>
        <v>14</v>
      </c>
      <c r="E20" s="9">
        <f>IFERROR(VLOOKUP(Tiro!I20,'Lista Bestias Carga'!$A$1:$F$17,3,FALSE),0)</f>
        <v>0</v>
      </c>
      <c r="F20" s="9">
        <f>IFERROR(VLOOKUP(Tiro!J20,'Lista Bestias Carga'!$A$1:$F$17,3,FALSE),0)</f>
        <v>0</v>
      </c>
      <c r="G20" s="9">
        <f>IFERROR(VLOOKUP(Tiro!K20,'Lista Bestias Carga'!$A$1:$F$17,3,FALSE),0)</f>
        <v>0</v>
      </c>
      <c r="H20" s="9">
        <f>IFERROR(VLOOKUP(Tiro!L20,'Lista Bestias Carga'!$A$1:$F$17,3,FALSE),0)</f>
        <v>0</v>
      </c>
      <c r="I20" s="9">
        <f>IFERROR(VLOOKUP(Tiro!M20,'Lista Bestias Carga'!$A$1:$F$17,3,FALSE),0)</f>
        <v>0</v>
      </c>
      <c r="J20" s="9">
        <f>IFERROR(VLOOKUP(Tiro!N20,'Lista Bestias Carga'!$A$1:$F$17,3,FALSE),0)</f>
        <v>0</v>
      </c>
    </row>
    <row r="21">
      <c r="A21" s="9" t="str">
        <f>Caravana!A23</f>
        <v>Huerto Hagorsson</v>
      </c>
      <c r="B21" s="9">
        <f t="shared" si="2"/>
        <v>28</v>
      </c>
      <c r="C21" s="9">
        <f>IFERROR(VLOOKUP(Tiro!G21,'Lista Bestias Carga'!$A$1:$F$17,3,FALSE),0)</f>
        <v>14</v>
      </c>
      <c r="D21" s="9">
        <f>IFERROR(VLOOKUP(Tiro!H21,'Lista Bestias Carga'!$A$1:$F$17,3,FALSE),0)</f>
        <v>14</v>
      </c>
      <c r="E21" s="9">
        <f>IFERROR(VLOOKUP(Tiro!I21,'Lista Bestias Carga'!$A$1:$F$17,3,FALSE),0)</f>
        <v>0</v>
      </c>
      <c r="F21" s="9">
        <f>IFERROR(VLOOKUP(Tiro!J21,'Lista Bestias Carga'!$A$1:$F$17,3,FALSE),0)</f>
        <v>0</v>
      </c>
      <c r="G21" s="9">
        <f>IFERROR(VLOOKUP(Tiro!K21,'Lista Bestias Carga'!$A$1:$F$17,3,FALSE),0)</f>
        <v>0</v>
      </c>
      <c r="H21" s="9">
        <f>IFERROR(VLOOKUP(Tiro!L21,'Lista Bestias Carga'!$A$1:$F$17,3,FALSE),0)</f>
        <v>0</v>
      </c>
      <c r="I21" s="9">
        <f>IFERROR(VLOOKUP(Tiro!M21,'Lista Bestias Carga'!$A$1:$F$17,3,FALSE),0)</f>
        <v>0</v>
      </c>
      <c r="J21" s="9">
        <f>IFERROR(VLOOKUP(Tiro!N21,'Lista Bestias Carga'!$A$1:$F$17,3,FALSE),0)</f>
        <v>0</v>
      </c>
    </row>
    <row r="22">
      <c r="A22" s="9" t="str">
        <f>Caravana!A24</f>
        <v>Huerto 1</v>
      </c>
      <c r="B22" s="9">
        <f t="shared" si="2"/>
        <v>28</v>
      </c>
      <c r="C22" s="9">
        <f>IFERROR(VLOOKUP(Tiro!G22,'Lista Bestias Carga'!$A$1:$F$17,3,FALSE),0)</f>
        <v>14</v>
      </c>
      <c r="D22" s="9">
        <f>IFERROR(VLOOKUP(Tiro!H22,'Lista Bestias Carga'!$A$1:$F$17,3,FALSE),0)</f>
        <v>14</v>
      </c>
      <c r="E22" s="9">
        <f>IFERROR(VLOOKUP(Tiro!I22,'Lista Bestias Carga'!$A$1:$F$17,3,FALSE),0)</f>
        <v>0</v>
      </c>
      <c r="F22" s="9">
        <f>IFERROR(VLOOKUP(Tiro!J22,'Lista Bestias Carga'!$A$1:$F$17,3,FALSE),0)</f>
        <v>0</v>
      </c>
      <c r="G22" s="9">
        <f>IFERROR(VLOOKUP(Tiro!K22,'Lista Bestias Carga'!$A$1:$F$17,3,FALSE),0)</f>
        <v>0</v>
      </c>
      <c r="H22" s="9">
        <f>IFERROR(VLOOKUP(Tiro!L22,'Lista Bestias Carga'!$A$1:$F$17,3,FALSE),0)</f>
        <v>0</v>
      </c>
      <c r="I22" s="9">
        <f>IFERROR(VLOOKUP(Tiro!M22,'Lista Bestias Carga'!$A$1:$F$17,3,FALSE),0)</f>
        <v>0</v>
      </c>
      <c r="J22" s="9">
        <f>IFERROR(VLOOKUP(Tiro!N22,'Lista Bestias Carga'!$A$1:$F$17,3,FALSE),0)</f>
        <v>0</v>
      </c>
    </row>
    <row r="23">
      <c r="A23" s="9" t="str">
        <f>Caravana!A25</f>
        <v>Huerto 2</v>
      </c>
      <c r="B23" s="9">
        <f t="shared" si="2"/>
        <v>28</v>
      </c>
      <c r="C23" s="9">
        <f>IFERROR(VLOOKUP(Tiro!G23,'Lista Bestias Carga'!$A$1:$F$17,3,FALSE),0)</f>
        <v>14</v>
      </c>
      <c r="D23" s="9">
        <f>IFERROR(VLOOKUP(Tiro!H23,'Lista Bestias Carga'!$A$1:$F$17,3,FALSE),0)</f>
        <v>14</v>
      </c>
      <c r="E23" s="9">
        <f>IFERROR(VLOOKUP(Tiro!I23,'Lista Bestias Carga'!$A$1:$F$17,3,FALSE),0)</f>
        <v>0</v>
      </c>
      <c r="F23" s="9">
        <f>IFERROR(VLOOKUP(Tiro!J23,'Lista Bestias Carga'!$A$1:$F$17,3,FALSE),0)</f>
        <v>0</v>
      </c>
      <c r="G23" s="9">
        <f>IFERROR(VLOOKUP(Tiro!K23,'Lista Bestias Carga'!$A$1:$F$17,3,FALSE),0)</f>
        <v>0</v>
      </c>
      <c r="H23" s="9">
        <f>IFERROR(VLOOKUP(Tiro!L23,'Lista Bestias Carga'!$A$1:$F$17,3,FALSE),0)</f>
        <v>0</v>
      </c>
      <c r="I23" s="9">
        <f>IFERROR(VLOOKUP(Tiro!M23,'Lista Bestias Carga'!$A$1:$F$17,3,FALSE),0)</f>
        <v>0</v>
      </c>
      <c r="J23" s="9">
        <f>IFERROR(VLOOKUP(Tiro!N23,'Lista Bestias Carga'!$A$1:$F$17,3,FALSE),0)</f>
        <v>0</v>
      </c>
    </row>
    <row r="24">
      <c r="A24" s="9" t="str">
        <f>Caravana!A26</f>
        <v>Hospital</v>
      </c>
      <c r="B24" s="9">
        <f t="shared" si="2"/>
        <v>28</v>
      </c>
      <c r="C24" s="9">
        <f>IFERROR(VLOOKUP(Tiro!G24,'Lista Bestias Carga'!$A$1:$F$17,3,FALSE),0)</f>
        <v>14</v>
      </c>
      <c r="D24" s="9">
        <f>IFERROR(VLOOKUP(Tiro!H24,'Lista Bestias Carga'!$A$1:$F$17,3,FALSE),0)</f>
        <v>14</v>
      </c>
      <c r="E24" s="9">
        <f>IFERROR(VLOOKUP(Tiro!I24,'Lista Bestias Carga'!$A$1:$F$17,3,FALSE),0)</f>
        <v>0</v>
      </c>
      <c r="F24" s="9">
        <f>IFERROR(VLOOKUP(Tiro!J24,'Lista Bestias Carga'!$A$1:$F$17,3,FALSE),0)</f>
        <v>0</v>
      </c>
      <c r="G24" s="9">
        <f>IFERROR(VLOOKUP(Tiro!K24,'Lista Bestias Carga'!$A$1:$F$17,3,FALSE),0)</f>
        <v>0</v>
      </c>
      <c r="H24" s="9">
        <f>IFERROR(VLOOKUP(Tiro!L24,'Lista Bestias Carga'!$A$1:$F$17,3,FALSE),0)</f>
        <v>0</v>
      </c>
      <c r="I24" s="9">
        <f>IFERROR(VLOOKUP(Tiro!M24,'Lista Bestias Carga'!$A$1:$F$17,3,FALSE),0)</f>
        <v>0</v>
      </c>
      <c r="J24" s="9">
        <f>IFERROR(VLOOKUP(Tiro!N24,'Lista Bestias Carga'!$A$1:$F$17,3,FALSE),0)</f>
        <v>0</v>
      </c>
    </row>
    <row r="25">
      <c r="A25" s="9" t="str">
        <f>Caravana!A27</f>
        <v>Bar sin límites</v>
      </c>
      <c r="B25" s="9">
        <f t="shared" si="2"/>
        <v>28</v>
      </c>
      <c r="C25" s="9">
        <f>IFERROR(VLOOKUP(Tiro!G25,'Lista Bestias Carga'!$A$1:$F$17,3,FALSE),0)</f>
        <v>14</v>
      </c>
      <c r="D25" s="9">
        <f>IFERROR(VLOOKUP(Tiro!H25,'Lista Bestias Carga'!$A$1:$F$17,3,FALSE),0)</f>
        <v>14</v>
      </c>
      <c r="E25" s="9">
        <f>IFERROR(VLOOKUP(Tiro!I25,'Lista Bestias Carga'!$A$1:$F$17,3,FALSE),0)</f>
        <v>0</v>
      </c>
      <c r="F25" s="9">
        <f>IFERROR(VLOOKUP(Tiro!J25,'Lista Bestias Carga'!$A$1:$F$17,3,FALSE),0)</f>
        <v>0</v>
      </c>
      <c r="G25" s="9">
        <f>IFERROR(VLOOKUP(Tiro!K25,'Lista Bestias Carga'!$A$1:$F$17,3,FALSE),0)</f>
        <v>0</v>
      </c>
      <c r="H25" s="9">
        <f>IFERROR(VLOOKUP(Tiro!L25,'Lista Bestias Carga'!$A$1:$F$17,3,FALSE),0)</f>
        <v>0</v>
      </c>
      <c r="I25" s="9">
        <f>IFERROR(VLOOKUP(Tiro!M25,'Lista Bestias Carga'!$A$1:$F$17,3,FALSE),0)</f>
        <v>0</v>
      </c>
      <c r="J25" s="9">
        <f>IFERROR(VLOOKUP(Tiro!N25,'Lista Bestias Carga'!$A$1:$F$17,3,FALSE),0)</f>
        <v>0</v>
      </c>
    </row>
    <row r="26">
      <c r="A26" s="9" t="str">
        <f>Caravana!A28</f>
        <v>Cómodo 1</v>
      </c>
      <c r="B26" s="9">
        <f t="shared" si="2"/>
        <v>28</v>
      </c>
      <c r="C26" s="9">
        <f>IFERROR(VLOOKUP(Tiro!G26,'Lista Bestias Carga'!$A$1:$F$17,3,FALSE),0)</f>
        <v>14</v>
      </c>
      <c r="D26" s="9">
        <f>IFERROR(VLOOKUP(Tiro!H26,'Lista Bestias Carga'!$A$1:$F$17,3,FALSE),0)</f>
        <v>14</v>
      </c>
      <c r="E26" s="9">
        <f>IFERROR(VLOOKUP(Tiro!I26,'Lista Bestias Carga'!$A$1:$F$17,3,FALSE),0)</f>
        <v>0</v>
      </c>
      <c r="F26" s="9">
        <f>IFERROR(VLOOKUP(Tiro!J26,'Lista Bestias Carga'!$A$1:$F$17,3,FALSE),0)</f>
        <v>0</v>
      </c>
      <c r="G26" s="9">
        <f>IFERROR(VLOOKUP(Tiro!K26,'Lista Bestias Carga'!$A$1:$F$17,3,FALSE),0)</f>
        <v>0</v>
      </c>
      <c r="H26" s="9">
        <f>IFERROR(VLOOKUP(Tiro!L26,'Lista Bestias Carga'!$A$1:$F$17,3,FALSE),0)</f>
        <v>0</v>
      </c>
      <c r="I26" s="9">
        <f>IFERROR(VLOOKUP(Tiro!M26,'Lista Bestias Carga'!$A$1:$F$17,3,FALSE),0)</f>
        <v>0</v>
      </c>
      <c r="J26" s="9">
        <f>IFERROR(VLOOKUP(Tiro!N26,'Lista Bestias Carga'!$A$1:$F$17,3,FALSE),0)</f>
        <v>0</v>
      </c>
    </row>
    <row r="27">
      <c r="A27" s="9" t="str">
        <f>Caravana!A29</f>
        <v>Cómodo 2</v>
      </c>
      <c r="B27" s="9">
        <f t="shared" si="2"/>
        <v>28</v>
      </c>
      <c r="C27" s="9">
        <f>IFERROR(VLOOKUP(Tiro!G27,'Lista Bestias Carga'!$A$1:$F$17,3,FALSE),0)</f>
        <v>14</v>
      </c>
      <c r="D27" s="9">
        <f>IFERROR(VLOOKUP(Tiro!H27,'Lista Bestias Carga'!$A$1:$F$17,3,FALSE),0)</f>
        <v>14</v>
      </c>
      <c r="E27" s="9">
        <f>IFERROR(VLOOKUP(Tiro!I27,'Lista Bestias Carga'!$A$1:$F$17,3,FALSE),0)</f>
        <v>0</v>
      </c>
      <c r="F27" s="9">
        <f>IFERROR(VLOOKUP(Tiro!J27,'Lista Bestias Carga'!$A$1:$F$17,3,FALSE),0)</f>
        <v>0</v>
      </c>
      <c r="G27" s="9">
        <f>IFERROR(VLOOKUP(Tiro!K27,'Lista Bestias Carga'!$A$1:$F$17,3,FALSE),0)</f>
        <v>0</v>
      </c>
      <c r="H27" s="9">
        <f>IFERROR(VLOOKUP(Tiro!L27,'Lista Bestias Carga'!$A$1:$F$17,3,FALSE),0)</f>
        <v>0</v>
      </c>
      <c r="I27" s="9">
        <f>IFERROR(VLOOKUP(Tiro!M27,'Lista Bestias Carga'!$A$1:$F$17,3,FALSE),0)</f>
        <v>0</v>
      </c>
      <c r="J27" s="9">
        <f>IFERROR(VLOOKUP(Tiro!N27,'Lista Bestias Carga'!$A$1:$F$17,3,FALSE),0)</f>
        <v>0</v>
      </c>
    </row>
    <row r="28">
      <c r="A28" s="9" t="str">
        <f>Caravana!A30</f>
        <v>Real</v>
      </c>
      <c r="B28" s="9">
        <f t="shared" si="2"/>
        <v>56</v>
      </c>
      <c r="C28" s="9">
        <f>IFERROR(VLOOKUP(Tiro!G28,'Lista Bestias Carga'!$A$1:$F$17,3,FALSE),0)</f>
        <v>14</v>
      </c>
      <c r="D28" s="9">
        <f>IFERROR(VLOOKUP(Tiro!H28,'Lista Bestias Carga'!$A$1:$F$17,3,FALSE),0)</f>
        <v>14</v>
      </c>
      <c r="E28" s="9">
        <f>IFERROR(VLOOKUP(Tiro!I28,'Lista Bestias Carga'!$A$1:$F$17,3,FALSE),0)</f>
        <v>14</v>
      </c>
      <c r="F28" s="9">
        <f>IFERROR(VLOOKUP(Tiro!J28,'Lista Bestias Carga'!$A$1:$F$17,3,FALSE),0)</f>
        <v>14</v>
      </c>
      <c r="G28" s="9">
        <f>IFERROR(VLOOKUP(Tiro!K28,'Lista Bestias Carga'!$A$1:$F$17,3,FALSE),0)</f>
        <v>0</v>
      </c>
      <c r="H28" s="9">
        <f>IFERROR(VLOOKUP(Tiro!L28,'Lista Bestias Carga'!$A$1:$F$17,3,FALSE),0)</f>
        <v>0</v>
      </c>
      <c r="I28" s="9">
        <f>IFERROR(VLOOKUP(Tiro!M28,'Lista Bestias Carga'!$A$1:$F$17,3,FALSE),0)</f>
        <v>0</v>
      </c>
      <c r="J28" s="9">
        <f>IFERROR(VLOOKUP(Tiro!N28,'Lista Bestias Carga'!$A$1:$F$17,3,FALSE),0)</f>
        <v>0</v>
      </c>
    </row>
    <row r="29">
      <c r="A29" s="9" t="str">
        <f>Caravana!A31</f>
        <v>Viajeros grande</v>
      </c>
      <c r="B29" s="9">
        <f t="shared" si="2"/>
        <v>28</v>
      </c>
      <c r="C29" s="9">
        <f>IFERROR(VLOOKUP(Tiro!G29,'Lista Bestias Carga'!$A$1:$F$17,3,FALSE),0)</f>
        <v>14</v>
      </c>
      <c r="D29" s="9">
        <f>IFERROR(VLOOKUP(Tiro!H29,'Lista Bestias Carga'!$A$1:$F$17,3,FALSE),0)</f>
        <v>14</v>
      </c>
      <c r="E29" s="9">
        <f>IFERROR(VLOOKUP(Tiro!I29,'Lista Bestias Carga'!$A$1:$F$17,3,FALSE),0)</f>
        <v>0</v>
      </c>
      <c r="F29" s="9">
        <f>IFERROR(VLOOKUP(Tiro!J29,'Lista Bestias Carga'!$A$1:$F$17,3,FALSE),0)</f>
        <v>0</v>
      </c>
      <c r="G29" s="9">
        <f>IFERROR(VLOOKUP(Tiro!K29,'Lista Bestias Carga'!$A$1:$F$17,3,FALSE),0)</f>
        <v>0</v>
      </c>
      <c r="H29" s="9">
        <f>IFERROR(VLOOKUP(Tiro!L29,'Lista Bestias Carga'!$A$1:$F$17,3,FALSE),0)</f>
        <v>0</v>
      </c>
      <c r="I29" s="9">
        <f>IFERROR(VLOOKUP(Tiro!M29,'Lista Bestias Carga'!$A$1:$F$17,3,FALSE),0)</f>
        <v>0</v>
      </c>
      <c r="J29" s="9">
        <f>IFERROR(VLOOKUP(Tiro!N29,'Lista Bestias Carga'!$A$1:$F$17,3,FALSE),0)</f>
        <v>0</v>
      </c>
    </row>
    <row r="30">
      <c r="A30" s="9" t="str">
        <f>Caravana!A32</f>
        <v/>
      </c>
      <c r="B30" s="9">
        <f t="shared" si="2"/>
        <v>0</v>
      </c>
      <c r="C30" s="9">
        <f>IFERROR(VLOOKUP(Tiro!G30,'Lista Bestias Carga'!$A$1:$F$17,3,FALSE),0)</f>
        <v>0</v>
      </c>
      <c r="D30" s="9">
        <f>IFERROR(VLOOKUP(Tiro!H30,'Lista Bestias Carga'!$A$1:$F$17,3,FALSE),0)</f>
        <v>0</v>
      </c>
      <c r="E30" s="9">
        <f>IFERROR(VLOOKUP(Tiro!I30,'Lista Bestias Carga'!$A$1:$F$17,3,FALSE),0)</f>
        <v>0</v>
      </c>
      <c r="F30" s="9">
        <f>IFERROR(VLOOKUP(Tiro!J30,'Lista Bestias Carga'!$A$1:$F$17,3,FALSE),0)</f>
        <v>0</v>
      </c>
      <c r="G30" s="9">
        <f>IFERROR(VLOOKUP(Tiro!K30,'Lista Bestias Carga'!$A$1:$F$17,3,FALSE),0)</f>
        <v>0</v>
      </c>
      <c r="H30" s="9">
        <f>IFERROR(VLOOKUP(Tiro!L30,'Lista Bestias Carga'!$A$1:$F$17,3,FALSE),0)</f>
        <v>0</v>
      </c>
      <c r="I30" s="9">
        <f>IFERROR(VLOOKUP(Tiro!M30,'Lista Bestias Carga'!$A$1:$F$17,3,FALSE),0)</f>
        <v>0</v>
      </c>
      <c r="J30" s="9">
        <f>IFERROR(VLOOKUP(Tiro!N30,'Lista Bestias Carga'!$A$1:$F$17,3,FALSE),0)</f>
        <v>0</v>
      </c>
    </row>
    <row r="31">
      <c r="A31" s="9" t="str">
        <f>Caravana!A33</f>
        <v/>
      </c>
      <c r="B31" s="9">
        <f t="shared" si="2"/>
        <v>0</v>
      </c>
      <c r="C31" s="9">
        <f>IFERROR(VLOOKUP(Tiro!G31,'Lista Bestias Carga'!$A$1:$F$17,3,FALSE),0)</f>
        <v>0</v>
      </c>
      <c r="D31" s="9">
        <f>IFERROR(VLOOKUP(Tiro!H31,'Lista Bestias Carga'!$A$1:$F$17,3,FALSE),0)</f>
        <v>0</v>
      </c>
      <c r="E31" s="9">
        <f>IFERROR(VLOOKUP(Tiro!I31,'Lista Bestias Carga'!$A$1:$F$17,3,FALSE),0)</f>
        <v>0</v>
      </c>
      <c r="F31" s="9">
        <f>IFERROR(VLOOKUP(Tiro!J31,'Lista Bestias Carga'!$A$1:$F$17,3,FALSE),0)</f>
        <v>0</v>
      </c>
      <c r="G31" s="9">
        <f>IFERROR(VLOOKUP(Tiro!K31,'Lista Bestias Carga'!$A$1:$F$17,3,FALSE),0)</f>
        <v>0</v>
      </c>
      <c r="H31" s="9">
        <f>IFERROR(VLOOKUP(Tiro!L31,'Lista Bestias Carga'!$A$1:$F$17,3,FALSE),0)</f>
        <v>0</v>
      </c>
      <c r="I31" s="9">
        <f>IFERROR(VLOOKUP(Tiro!M31,'Lista Bestias Carga'!$A$1:$F$17,3,FALSE),0)</f>
        <v>0</v>
      </c>
      <c r="J31" s="9">
        <f>IFERROR(VLOOKUP(Tiro!N31,'Lista Bestias Carga'!$A$1:$F$17,3,FALSE),0)</f>
        <v>0</v>
      </c>
    </row>
    <row r="32">
      <c r="A32" s="9" t="str">
        <f>Caravana!A34</f>
        <v/>
      </c>
      <c r="B32" s="9">
        <f t="shared" si="2"/>
        <v>0</v>
      </c>
      <c r="C32" s="9">
        <f>IFERROR(VLOOKUP(Tiro!G32,'Lista Bestias Carga'!$A$1:$F$17,3,FALSE),0)</f>
        <v>0</v>
      </c>
      <c r="D32" s="9">
        <f>IFERROR(VLOOKUP(Tiro!H32,'Lista Bestias Carga'!$A$1:$F$17,3,FALSE),0)</f>
        <v>0</v>
      </c>
      <c r="E32" s="9">
        <f>IFERROR(VLOOKUP(Tiro!I32,'Lista Bestias Carga'!$A$1:$F$17,3,FALSE),0)</f>
        <v>0</v>
      </c>
      <c r="F32" s="9">
        <f>IFERROR(VLOOKUP(Tiro!J32,'Lista Bestias Carga'!$A$1:$F$17,3,FALSE),0)</f>
        <v>0</v>
      </c>
      <c r="G32" s="9">
        <f>IFERROR(VLOOKUP(Tiro!K32,'Lista Bestias Carga'!$A$1:$F$17,3,FALSE),0)</f>
        <v>0</v>
      </c>
      <c r="H32" s="9">
        <f>IFERROR(VLOOKUP(Tiro!L32,'Lista Bestias Carga'!$A$1:$F$17,3,FALSE),0)</f>
        <v>0</v>
      </c>
      <c r="I32" s="9">
        <f>IFERROR(VLOOKUP(Tiro!M32,'Lista Bestias Carga'!$A$1:$F$17,3,FALSE),0)</f>
        <v>0</v>
      </c>
      <c r="J32" s="9">
        <f>IFERROR(VLOOKUP(Tiro!N32,'Lista Bestias Carga'!$A$1:$F$17,3,FALSE),0)</f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7</v>
      </c>
      <c r="B1" s="33" t="s">
        <v>348</v>
      </c>
      <c r="C1" s="33">
        <v>1.0</v>
      </c>
      <c r="D1" s="33">
        <f t="shared" ref="D1:J1" si="1">C1+1</f>
        <v>2</v>
      </c>
      <c r="E1" s="33">
        <f t="shared" si="1"/>
        <v>3</v>
      </c>
      <c r="F1" s="33">
        <f t="shared" si="1"/>
        <v>4</v>
      </c>
      <c r="G1" s="33">
        <f t="shared" si="1"/>
        <v>5</v>
      </c>
      <c r="H1" s="33">
        <f t="shared" si="1"/>
        <v>6</v>
      </c>
      <c r="I1" s="33">
        <f t="shared" si="1"/>
        <v>7</v>
      </c>
      <c r="J1" s="33">
        <f t="shared" si="1"/>
        <v>8</v>
      </c>
    </row>
    <row r="2">
      <c r="A2" s="9" t="str">
        <f>Caravana!A4</f>
        <v>Viajeros 1</v>
      </c>
      <c r="B2" s="9">
        <f t="shared" ref="B2:B32" si="2">SUM(C2:J2)</f>
        <v>2</v>
      </c>
      <c r="C2" s="9">
        <f>IFERROR(VLOOKUP(Tiro!G2,'Lista Bestias Carga'!$A$1:$F$17,4,FALSE),0)</f>
        <v>1</v>
      </c>
      <c r="D2" s="9">
        <f>IFERROR(VLOOKUP(Tiro!H2,'Lista Bestias Carga'!$A$1:$F$17,4,FALSE),0)</f>
        <v>1</v>
      </c>
      <c r="E2" s="9">
        <f>IFERROR(VLOOKUP(Tiro!I2,'Lista Bestias Carga'!$A$1:$F$17,4,FALSE),0)</f>
        <v>0</v>
      </c>
      <c r="F2" s="9">
        <f>IFERROR(VLOOKUP(Tiro!J2,'Lista Bestias Carga'!$A$1:$F$17,4,FALSE),0)</f>
        <v>0</v>
      </c>
      <c r="G2" s="9">
        <f>IFERROR(VLOOKUP(Tiro!K2,'Lista Bestias Carga'!$A$1:$F$17,4,FALSE),0)</f>
        <v>0</v>
      </c>
      <c r="H2" s="9">
        <f>IFERROR(VLOOKUP(Tiro!L2,'Lista Bestias Carga'!$A$1:$F$17,4,FALSE),0)</f>
        <v>0</v>
      </c>
      <c r="I2" s="9">
        <f>IFERROR(VLOOKUP(Tiro!M2,'Lista Bestias Carga'!$A$1:$F$17,4,FALSE),0)</f>
        <v>0</v>
      </c>
      <c r="J2" s="9">
        <f>IFERROR(VLOOKUP(Tiro!N2,'Lista Bestias Carga'!$A$1:$F$17,4,FALSE),0)</f>
        <v>0</v>
      </c>
    </row>
    <row r="3">
      <c r="A3" s="9" t="str">
        <f>Caravana!A5</f>
        <v>Viajeros 2</v>
      </c>
      <c r="B3" s="9">
        <f t="shared" si="2"/>
        <v>2</v>
      </c>
      <c r="C3" s="9">
        <f>IFERROR(VLOOKUP(Tiro!G3,'Lista Bestias Carga'!$A$1:$F$17,4,FALSE),0)</f>
        <v>1</v>
      </c>
      <c r="D3" s="9">
        <f>IFERROR(VLOOKUP(Tiro!H3,'Lista Bestias Carga'!$A$1:$F$17,4,FALSE),0)</f>
        <v>1</v>
      </c>
      <c r="E3" s="9">
        <f>IFERROR(VLOOKUP(Tiro!I3,'Lista Bestias Carga'!$A$1:$F$17,4,FALSE),0)</f>
        <v>0</v>
      </c>
      <c r="F3" s="9">
        <f>IFERROR(VLOOKUP(Tiro!J3,'Lista Bestias Carga'!$A$1:$F$17,4,FALSE),0)</f>
        <v>0</v>
      </c>
      <c r="G3" s="9">
        <f>IFERROR(VLOOKUP(Tiro!K3,'Lista Bestias Carga'!$A$1:$F$17,4,FALSE),0)</f>
        <v>0</v>
      </c>
      <c r="H3" s="9">
        <f>IFERROR(VLOOKUP(Tiro!L3,'Lista Bestias Carga'!$A$1:$F$17,4,FALSE),0)</f>
        <v>0</v>
      </c>
      <c r="I3" s="9">
        <f>IFERROR(VLOOKUP(Tiro!M3,'Lista Bestias Carga'!$A$1:$F$17,4,FALSE),0)</f>
        <v>0</v>
      </c>
      <c r="J3" s="9">
        <f>IFERROR(VLOOKUP(Tiro!N3,'Lista Bestias Carga'!$A$1:$F$17,4,FALSE),0)</f>
        <v>0</v>
      </c>
    </row>
    <row r="4">
      <c r="A4" s="9" t="str">
        <f>Caravana!A6</f>
        <v>Viajeros 3</v>
      </c>
      <c r="B4" s="9">
        <f t="shared" si="2"/>
        <v>2</v>
      </c>
      <c r="C4" s="9">
        <f>IFERROR(VLOOKUP(Tiro!G4,'Lista Bestias Carga'!$A$1:$F$17,4,FALSE),0)</f>
        <v>1</v>
      </c>
      <c r="D4" s="9">
        <f>IFERROR(VLOOKUP(Tiro!H4,'Lista Bestias Carga'!$A$1:$F$17,4,FALSE),0)</f>
        <v>1</v>
      </c>
      <c r="E4" s="9">
        <f>IFERROR(VLOOKUP(Tiro!I4,'Lista Bestias Carga'!$A$1:$F$17,4,FALSE),0)</f>
        <v>0</v>
      </c>
      <c r="F4" s="9">
        <f>IFERROR(VLOOKUP(Tiro!J4,'Lista Bestias Carga'!$A$1:$F$17,4,FALSE),0)</f>
        <v>0</v>
      </c>
      <c r="G4" s="9">
        <f>IFERROR(VLOOKUP(Tiro!K4,'Lista Bestias Carga'!$A$1:$F$17,4,FALSE),0)</f>
        <v>0</v>
      </c>
      <c r="H4" s="9">
        <f>IFERROR(VLOOKUP(Tiro!L4,'Lista Bestias Carga'!$A$1:$F$17,4,FALSE),0)</f>
        <v>0</v>
      </c>
      <c r="I4" s="9">
        <f>IFERROR(VLOOKUP(Tiro!M4,'Lista Bestias Carga'!$A$1:$F$17,4,FALSE),0)</f>
        <v>0</v>
      </c>
      <c r="J4" s="9">
        <f>IFERROR(VLOOKUP(Tiro!N4,'Lista Bestias Carga'!$A$1:$F$17,4,FALSE),0)</f>
        <v>0</v>
      </c>
    </row>
    <row r="5">
      <c r="A5" s="9" t="str">
        <f>Caravana!A7</f>
        <v>Viajeros 4</v>
      </c>
      <c r="B5" s="9">
        <f t="shared" si="2"/>
        <v>2</v>
      </c>
      <c r="C5" s="9">
        <f>IFERROR(VLOOKUP(Tiro!G5,'Lista Bestias Carga'!$A$1:$F$17,4,FALSE),0)</f>
        <v>1</v>
      </c>
      <c r="D5" s="9">
        <f>IFERROR(VLOOKUP(Tiro!H5,'Lista Bestias Carga'!$A$1:$F$17,4,FALSE),0)</f>
        <v>1</v>
      </c>
      <c r="E5" s="9">
        <f>IFERROR(VLOOKUP(Tiro!I5,'Lista Bestias Carga'!$A$1:$F$17,4,FALSE),0)</f>
        <v>0</v>
      </c>
      <c r="F5" s="9">
        <f>IFERROR(VLOOKUP(Tiro!J5,'Lista Bestias Carga'!$A$1:$F$17,4,FALSE),0)</f>
        <v>0</v>
      </c>
      <c r="G5" s="9">
        <f>IFERROR(VLOOKUP(Tiro!K5,'Lista Bestias Carga'!$A$1:$F$17,4,FALSE),0)</f>
        <v>0</v>
      </c>
      <c r="H5" s="9">
        <f>IFERROR(VLOOKUP(Tiro!L5,'Lista Bestias Carga'!$A$1:$F$17,4,FALSE),0)</f>
        <v>0</v>
      </c>
      <c r="I5" s="9">
        <f>IFERROR(VLOOKUP(Tiro!M5,'Lista Bestias Carga'!$A$1:$F$17,4,FALSE),0)</f>
        <v>0</v>
      </c>
      <c r="J5" s="9">
        <f>IFERROR(VLOOKUP(Tiro!N5,'Lista Bestias Carga'!$A$1:$F$17,4,FALSE),0)</f>
        <v>0</v>
      </c>
    </row>
    <row r="6">
      <c r="A6" s="9" t="str">
        <f>Caravana!A8</f>
        <v>Viajeros 5</v>
      </c>
      <c r="B6" s="9">
        <f t="shared" si="2"/>
        <v>2</v>
      </c>
      <c r="C6" s="9">
        <f>IFERROR(VLOOKUP(Tiro!G6,'Lista Bestias Carga'!$A$1:$F$17,4,FALSE),0)</f>
        <v>1</v>
      </c>
      <c r="D6" s="9">
        <f>IFERROR(VLOOKUP(Tiro!H6,'Lista Bestias Carga'!$A$1:$F$17,4,FALSE),0)</f>
        <v>1</v>
      </c>
      <c r="E6" s="9">
        <f>IFERROR(VLOOKUP(Tiro!I6,'Lista Bestias Carga'!$A$1:$F$17,4,FALSE),0)</f>
        <v>0</v>
      </c>
      <c r="F6" s="9">
        <f>IFERROR(VLOOKUP(Tiro!J6,'Lista Bestias Carga'!$A$1:$F$17,4,FALSE),0)</f>
        <v>0</v>
      </c>
      <c r="G6" s="9">
        <f>IFERROR(VLOOKUP(Tiro!K6,'Lista Bestias Carga'!$A$1:$F$17,4,FALSE),0)</f>
        <v>0</v>
      </c>
      <c r="H6" s="9">
        <f>IFERROR(VLOOKUP(Tiro!L6,'Lista Bestias Carga'!$A$1:$F$17,4,FALSE),0)</f>
        <v>0</v>
      </c>
      <c r="I6" s="9">
        <f>IFERROR(VLOOKUP(Tiro!M6,'Lista Bestias Carga'!$A$1:$F$17,4,FALSE),0)</f>
        <v>0</v>
      </c>
      <c r="J6" s="9">
        <f>IFERROR(VLOOKUP(Tiro!N6,'Lista Bestias Carga'!$A$1:$F$17,4,FALSE),0)</f>
        <v>0</v>
      </c>
    </row>
    <row r="7">
      <c r="A7" s="9" t="str">
        <f>Caravana!A9</f>
        <v>Prisioneros</v>
      </c>
      <c r="B7" s="9">
        <f t="shared" si="2"/>
        <v>1</v>
      </c>
      <c r="C7" s="9">
        <f>IFERROR(VLOOKUP(Tiro!G7,'Lista Bestias Carga'!$A$1:$F$17,4,FALSE),0)</f>
        <v>1</v>
      </c>
      <c r="D7" s="9">
        <f>IFERROR(VLOOKUP(Tiro!H7,'Lista Bestias Carga'!$A$1:$F$17,4,FALSE),0)</f>
        <v>0</v>
      </c>
      <c r="E7" s="9">
        <f>IFERROR(VLOOKUP(Tiro!I7,'Lista Bestias Carga'!$A$1:$F$17,4,FALSE),0)</f>
        <v>0</v>
      </c>
      <c r="F7" s="9">
        <f>IFERROR(VLOOKUP(Tiro!J7,'Lista Bestias Carga'!$A$1:$F$17,4,FALSE),0)</f>
        <v>0</v>
      </c>
      <c r="G7" s="9">
        <f>IFERROR(VLOOKUP(Tiro!K7,'Lista Bestias Carga'!$A$1:$F$17,4,FALSE),0)</f>
        <v>0</v>
      </c>
      <c r="H7" s="9">
        <f>IFERROR(VLOOKUP(Tiro!L7,'Lista Bestias Carga'!$A$1:$F$17,4,FALSE),0)</f>
        <v>0</v>
      </c>
      <c r="I7" s="9">
        <f>IFERROR(VLOOKUP(Tiro!M7,'Lista Bestias Carga'!$A$1:$F$17,4,FALSE),0)</f>
        <v>0</v>
      </c>
      <c r="J7" s="9">
        <f>IFERROR(VLOOKUP(Tiro!N7,'Lista Bestias Carga'!$A$1:$F$17,4,FALSE),0)</f>
        <v>0</v>
      </c>
    </row>
    <row r="8">
      <c r="A8" s="9" t="str">
        <f>Caravana!A10</f>
        <v>Zoo</v>
      </c>
      <c r="B8" s="9">
        <f t="shared" si="2"/>
        <v>1</v>
      </c>
      <c r="C8" s="9">
        <f>IFERROR(VLOOKUP(Tiro!G8,'Lista Bestias Carga'!$A$1:$F$17,4,FALSE),0)</f>
        <v>1</v>
      </c>
      <c r="D8" s="9">
        <f>IFERROR(VLOOKUP(Tiro!H8,'Lista Bestias Carga'!$A$1:$F$17,4,FALSE),0)</f>
        <v>0</v>
      </c>
      <c r="E8" s="9">
        <f>IFERROR(VLOOKUP(Tiro!I8,'Lista Bestias Carga'!$A$1:$F$17,4,FALSE),0)</f>
        <v>0</v>
      </c>
      <c r="F8" s="9">
        <f>IFERROR(VLOOKUP(Tiro!J8,'Lista Bestias Carga'!$A$1:$F$17,4,FALSE),0)</f>
        <v>0</v>
      </c>
      <c r="G8" s="9">
        <f>IFERROR(VLOOKUP(Tiro!K8,'Lista Bestias Carga'!$A$1:$F$17,4,FALSE),0)</f>
        <v>0</v>
      </c>
      <c r="H8" s="9">
        <f>IFERROR(VLOOKUP(Tiro!L8,'Lista Bestias Carga'!$A$1:$F$17,4,FALSE),0)</f>
        <v>0</v>
      </c>
      <c r="I8" s="9">
        <f>IFERROR(VLOOKUP(Tiro!M8,'Lista Bestias Carga'!$A$1:$F$17,4,FALSE),0)</f>
        <v>0</v>
      </c>
      <c r="J8" s="9">
        <f>IFERROR(VLOOKUP(Tiro!N8,'Lista Bestias Carga'!$A$1:$F$17,4,FALSE),0)</f>
        <v>0</v>
      </c>
    </row>
    <row r="9">
      <c r="A9" s="9" t="str">
        <f>Caravana!A11</f>
        <v>Familias Kalsgard</v>
      </c>
      <c r="B9" s="9">
        <f t="shared" si="2"/>
        <v>2</v>
      </c>
      <c r="C9" s="9">
        <f>IFERROR(VLOOKUP(Tiro!G9,'Lista Bestias Carga'!$A$1:$F$17,4,FALSE),0)</f>
        <v>1</v>
      </c>
      <c r="D9" s="9">
        <f>IFERROR(VLOOKUP(Tiro!H9,'Lista Bestias Carga'!$A$1:$F$17,4,FALSE),0)</f>
        <v>1</v>
      </c>
      <c r="E9" s="9">
        <f>IFERROR(VLOOKUP(Tiro!I9,'Lista Bestias Carga'!$A$1:$F$17,4,FALSE),0)</f>
        <v>0</v>
      </c>
      <c r="F9" s="9">
        <f>IFERROR(VLOOKUP(Tiro!J9,'Lista Bestias Carga'!$A$1:$F$17,4,FALSE),0)</f>
        <v>0</v>
      </c>
      <c r="G9" s="9">
        <f>IFERROR(VLOOKUP(Tiro!K9,'Lista Bestias Carga'!$A$1:$F$17,4,FALSE),0)</f>
        <v>0</v>
      </c>
      <c r="H9" s="9">
        <f>IFERROR(VLOOKUP(Tiro!L9,'Lista Bestias Carga'!$A$1:$F$17,4,FALSE),0)</f>
        <v>0</v>
      </c>
      <c r="I9" s="9">
        <f>IFERROR(VLOOKUP(Tiro!M9,'Lista Bestias Carga'!$A$1:$F$17,4,FALSE),0)</f>
        <v>0</v>
      </c>
      <c r="J9" s="9">
        <f>IFERROR(VLOOKUP(Tiro!N9,'Lista Bestias Carga'!$A$1:$F$17,4,FALSE),0)</f>
        <v>0</v>
      </c>
    </row>
    <row r="10">
      <c r="A10" s="9" t="str">
        <f>Caravana!A12</f>
        <v>Mercancías Hierro</v>
      </c>
      <c r="B10" s="9">
        <f t="shared" si="2"/>
        <v>2</v>
      </c>
      <c r="C10" s="9">
        <f>IFERROR(VLOOKUP(Tiro!G10,'Lista Bestias Carga'!$A$1:$F$17,4,FALSE),0)</f>
        <v>1</v>
      </c>
      <c r="D10" s="9">
        <f>IFERROR(VLOOKUP(Tiro!H10,'Lista Bestias Carga'!$A$1:$F$17,4,FALSE),0)</f>
        <v>1</v>
      </c>
      <c r="E10" s="9">
        <f>IFERROR(VLOOKUP(Tiro!I10,'Lista Bestias Carga'!$A$1:$F$17,4,FALSE),0)</f>
        <v>0</v>
      </c>
      <c r="F10" s="9">
        <f>IFERROR(VLOOKUP(Tiro!J10,'Lista Bestias Carga'!$A$1:$F$17,4,FALSE),0)</f>
        <v>0</v>
      </c>
      <c r="G10" s="9">
        <f>IFERROR(VLOOKUP(Tiro!K10,'Lista Bestias Carga'!$A$1:$F$17,4,FALSE),0)</f>
        <v>0</v>
      </c>
      <c r="H10" s="9">
        <f>IFERROR(VLOOKUP(Tiro!L10,'Lista Bestias Carga'!$A$1:$F$17,4,FALSE),0)</f>
        <v>0</v>
      </c>
      <c r="I10" s="9">
        <f>IFERROR(VLOOKUP(Tiro!M10,'Lista Bestias Carga'!$A$1:$F$17,4,FALSE),0)</f>
        <v>0</v>
      </c>
      <c r="J10" s="9">
        <f>IFERROR(VLOOKUP(Tiro!N10,'Lista Bestias Carga'!$A$1:$F$17,4,FALSE),0)</f>
        <v>0</v>
      </c>
    </row>
    <row r="11">
      <c r="A11" s="9" t="str">
        <f>Caravana!A13</f>
        <v>Mercancías General</v>
      </c>
      <c r="B11" s="9">
        <f t="shared" si="2"/>
        <v>2</v>
      </c>
      <c r="C11" s="9">
        <f>IFERROR(VLOOKUP(Tiro!G11,'Lista Bestias Carga'!$A$1:$F$17,4,FALSE),0)</f>
        <v>1</v>
      </c>
      <c r="D11" s="9">
        <f>IFERROR(VLOOKUP(Tiro!H11,'Lista Bestias Carga'!$A$1:$F$17,4,FALSE),0)</f>
        <v>1</v>
      </c>
      <c r="E11" s="9">
        <f>IFERROR(VLOOKUP(Tiro!I11,'Lista Bestias Carga'!$A$1:$F$17,4,FALSE),0)</f>
        <v>0</v>
      </c>
      <c r="F11" s="9">
        <f>IFERROR(VLOOKUP(Tiro!J11,'Lista Bestias Carga'!$A$1:$F$17,4,FALSE),0)</f>
        <v>0</v>
      </c>
      <c r="G11" s="9">
        <f>IFERROR(VLOOKUP(Tiro!K11,'Lista Bestias Carga'!$A$1:$F$17,4,FALSE),0)</f>
        <v>0</v>
      </c>
      <c r="H11" s="9">
        <f>IFERROR(VLOOKUP(Tiro!L11,'Lista Bestias Carga'!$A$1:$F$17,4,FALSE),0)</f>
        <v>0</v>
      </c>
      <c r="I11" s="9">
        <f>IFERROR(VLOOKUP(Tiro!M11,'Lista Bestias Carga'!$A$1:$F$17,4,FALSE),0)</f>
        <v>0</v>
      </c>
      <c r="J11" s="9">
        <f>IFERROR(VLOOKUP(Tiro!N11,'Lista Bestias Carga'!$A$1:$F$17,4,FALSE),0)</f>
        <v>0</v>
      </c>
    </row>
    <row r="12">
      <c r="A12" s="9" t="str">
        <f>Caravana!A14</f>
        <v>Mercancías Punta Arena</v>
      </c>
      <c r="B12" s="9">
        <f t="shared" si="2"/>
        <v>2</v>
      </c>
      <c r="C12" s="9">
        <f>IFERROR(VLOOKUP(Tiro!G12,'Lista Bestias Carga'!$A$1:$F$17,4,FALSE),0)</f>
        <v>1</v>
      </c>
      <c r="D12" s="9">
        <f>IFERROR(VLOOKUP(Tiro!H12,'Lista Bestias Carga'!$A$1:$F$17,4,FALSE),0)</f>
        <v>1</v>
      </c>
      <c r="E12" s="9">
        <f>IFERROR(VLOOKUP(Tiro!I12,'Lista Bestias Carga'!$A$1:$F$17,4,FALSE),0)</f>
        <v>0</v>
      </c>
      <c r="F12" s="9">
        <f>IFERROR(VLOOKUP(Tiro!J12,'Lista Bestias Carga'!$A$1:$F$17,4,FALSE),0)</f>
        <v>0</v>
      </c>
      <c r="G12" s="9">
        <f>IFERROR(VLOOKUP(Tiro!K12,'Lista Bestias Carga'!$A$1:$F$17,4,FALSE),0)</f>
        <v>0</v>
      </c>
      <c r="H12" s="9">
        <f>IFERROR(VLOOKUP(Tiro!L12,'Lista Bestias Carga'!$A$1:$F$17,4,FALSE),0)</f>
        <v>0</v>
      </c>
      <c r="I12" s="9">
        <f>IFERROR(VLOOKUP(Tiro!M12,'Lista Bestias Carga'!$A$1:$F$17,4,FALSE),0)</f>
        <v>0</v>
      </c>
      <c r="J12" s="9">
        <f>IFERROR(VLOOKUP(Tiro!N12,'Lista Bestias Carga'!$A$1:$F$17,4,FALSE),0)</f>
        <v>0</v>
      </c>
    </row>
    <row r="13">
      <c r="A13" s="9" t="str">
        <f>Caravana!A15</f>
        <v>Mercancías Kalsgard</v>
      </c>
      <c r="B13" s="9">
        <f t="shared" si="2"/>
        <v>2</v>
      </c>
      <c r="C13" s="9">
        <f>IFERROR(VLOOKUP(Tiro!G13,'Lista Bestias Carga'!$A$1:$F$17,4,FALSE),0)</f>
        <v>1</v>
      </c>
      <c r="D13" s="9">
        <f>IFERROR(VLOOKUP(Tiro!H13,'Lista Bestias Carga'!$A$1:$F$17,4,FALSE),0)</f>
        <v>1</v>
      </c>
      <c r="E13" s="9">
        <f>IFERROR(VLOOKUP(Tiro!I13,'Lista Bestias Carga'!$A$1:$F$17,4,FALSE),0)</f>
        <v>0</v>
      </c>
      <c r="F13" s="9">
        <f>IFERROR(VLOOKUP(Tiro!J13,'Lista Bestias Carga'!$A$1:$F$17,4,FALSE),0)</f>
        <v>0</v>
      </c>
      <c r="G13" s="9">
        <f>IFERROR(VLOOKUP(Tiro!K13,'Lista Bestias Carga'!$A$1:$F$17,4,FALSE),0)</f>
        <v>0</v>
      </c>
      <c r="H13" s="9">
        <f>IFERROR(VLOOKUP(Tiro!L13,'Lista Bestias Carga'!$A$1:$F$17,4,FALSE),0)</f>
        <v>0</v>
      </c>
      <c r="I13" s="9">
        <f>IFERROR(VLOOKUP(Tiro!M13,'Lista Bestias Carga'!$A$1:$F$17,4,FALSE),0)</f>
        <v>0</v>
      </c>
      <c r="J13" s="9">
        <f>IFERROR(VLOOKUP(Tiro!N13,'Lista Bestias Carga'!$A$1:$F$17,4,FALSE),0)</f>
        <v>0</v>
      </c>
    </row>
    <row r="14">
      <c r="A14" s="9" t="str">
        <f>Caravana!A16</f>
        <v>Carbón</v>
      </c>
      <c r="B14" s="9">
        <f t="shared" si="2"/>
        <v>2</v>
      </c>
      <c r="C14" s="9">
        <f>IFERROR(VLOOKUP(Tiro!G14,'Lista Bestias Carga'!$A$1:$F$17,4,FALSE),0)</f>
        <v>1</v>
      </c>
      <c r="D14" s="9">
        <f>IFERROR(VLOOKUP(Tiro!H14,'Lista Bestias Carga'!$A$1:$F$17,4,FALSE),0)</f>
        <v>1</v>
      </c>
      <c r="E14" s="9">
        <f>IFERROR(VLOOKUP(Tiro!I14,'Lista Bestias Carga'!$A$1:$F$17,4,FALSE),0)</f>
        <v>0</v>
      </c>
      <c r="F14" s="9">
        <f>IFERROR(VLOOKUP(Tiro!J14,'Lista Bestias Carga'!$A$1:$F$17,4,FALSE),0)</f>
        <v>0</v>
      </c>
      <c r="G14" s="9">
        <f>IFERROR(VLOOKUP(Tiro!K14,'Lista Bestias Carga'!$A$1:$F$17,4,FALSE),0)</f>
        <v>0</v>
      </c>
      <c r="H14" s="9">
        <f>IFERROR(VLOOKUP(Tiro!L14,'Lista Bestias Carga'!$A$1:$F$17,4,FALSE),0)</f>
        <v>0</v>
      </c>
      <c r="I14" s="9">
        <f>IFERROR(VLOOKUP(Tiro!M14,'Lista Bestias Carga'!$A$1:$F$17,4,FALSE),0)</f>
        <v>0</v>
      </c>
      <c r="J14" s="9">
        <f>IFERROR(VLOOKUP(Tiro!N14,'Lista Bestias Carga'!$A$1:$F$17,4,FALSE),0)</f>
        <v>0</v>
      </c>
    </row>
    <row r="15">
      <c r="A15" s="9" t="str">
        <f>Caravana!A17</f>
        <v>Queso</v>
      </c>
      <c r="B15" s="9">
        <f t="shared" si="2"/>
        <v>2</v>
      </c>
      <c r="C15" s="9">
        <f>IFERROR(VLOOKUP(Tiro!G15,'Lista Bestias Carga'!$A$1:$F$17,4,FALSE),0)</f>
        <v>1</v>
      </c>
      <c r="D15" s="9">
        <f>IFERROR(VLOOKUP(Tiro!H15,'Lista Bestias Carga'!$A$1:$F$17,4,FALSE),0)</f>
        <v>1</v>
      </c>
      <c r="E15" s="9">
        <f>IFERROR(VLOOKUP(Tiro!I15,'Lista Bestias Carga'!$A$1:$F$17,4,FALSE),0)</f>
        <v>0</v>
      </c>
      <c r="F15" s="9">
        <f>IFERROR(VLOOKUP(Tiro!J15,'Lista Bestias Carga'!$A$1:$F$17,4,FALSE),0)</f>
        <v>0</v>
      </c>
      <c r="G15" s="9">
        <f>IFERROR(VLOOKUP(Tiro!K15,'Lista Bestias Carga'!$A$1:$F$17,4,FALSE),0)</f>
        <v>0</v>
      </c>
      <c r="H15" s="9">
        <f>IFERROR(VLOOKUP(Tiro!L15,'Lista Bestias Carga'!$A$1:$F$17,4,FALSE),0)</f>
        <v>0</v>
      </c>
      <c r="I15" s="9">
        <f>IFERROR(VLOOKUP(Tiro!M15,'Lista Bestias Carga'!$A$1:$F$17,4,FALSE),0)</f>
        <v>0</v>
      </c>
      <c r="J15" s="9">
        <f>IFERROR(VLOOKUP(Tiro!N15,'Lista Bestias Carga'!$A$1:$F$17,4,FALSE),0)</f>
        <v>0</v>
      </c>
    </row>
    <row r="16">
      <c r="A16" s="9" t="str">
        <f>Caravana!A18</f>
        <v>Suministros 1</v>
      </c>
      <c r="B16" s="9">
        <f t="shared" si="2"/>
        <v>2</v>
      </c>
      <c r="C16" s="9">
        <f>IFERROR(VLOOKUP(Tiro!G16,'Lista Bestias Carga'!$A$1:$F$17,4,FALSE),0)</f>
        <v>1</v>
      </c>
      <c r="D16" s="9">
        <f>IFERROR(VLOOKUP(Tiro!H16,'Lista Bestias Carga'!$A$1:$F$17,4,FALSE),0)</f>
        <v>1</v>
      </c>
      <c r="E16" s="9">
        <f>IFERROR(VLOOKUP(Tiro!I16,'Lista Bestias Carga'!$A$1:$F$17,4,FALSE),0)</f>
        <v>0</v>
      </c>
      <c r="F16" s="9">
        <f>IFERROR(VLOOKUP(Tiro!J16,'Lista Bestias Carga'!$A$1:$F$17,4,FALSE),0)</f>
        <v>0</v>
      </c>
      <c r="G16" s="9">
        <f>IFERROR(VLOOKUP(Tiro!K16,'Lista Bestias Carga'!$A$1:$F$17,4,FALSE),0)</f>
        <v>0</v>
      </c>
      <c r="H16" s="9">
        <f>IFERROR(VLOOKUP(Tiro!L16,'Lista Bestias Carga'!$A$1:$F$17,4,FALSE),0)</f>
        <v>0</v>
      </c>
      <c r="I16" s="9">
        <f>IFERROR(VLOOKUP(Tiro!M16,'Lista Bestias Carga'!$A$1:$F$17,4,FALSE),0)</f>
        <v>0</v>
      </c>
      <c r="J16" s="9">
        <f>IFERROR(VLOOKUP(Tiro!N16,'Lista Bestias Carga'!$A$1:$F$17,4,FALSE),0)</f>
        <v>0</v>
      </c>
    </row>
    <row r="17">
      <c r="A17" s="9" t="str">
        <f>Caravana!A19</f>
        <v>Suministros 2</v>
      </c>
      <c r="B17" s="9">
        <f t="shared" si="2"/>
        <v>2</v>
      </c>
      <c r="C17" s="9">
        <f>IFERROR(VLOOKUP(Tiro!G17,'Lista Bestias Carga'!$A$1:$F$17,4,FALSE),0)</f>
        <v>1</v>
      </c>
      <c r="D17" s="9">
        <f>IFERROR(VLOOKUP(Tiro!H17,'Lista Bestias Carga'!$A$1:$F$17,4,FALSE),0)</f>
        <v>1</v>
      </c>
      <c r="E17" s="9">
        <f>IFERROR(VLOOKUP(Tiro!I17,'Lista Bestias Carga'!$A$1:$F$17,4,FALSE),0)</f>
        <v>0</v>
      </c>
      <c r="F17" s="9">
        <f>IFERROR(VLOOKUP(Tiro!J17,'Lista Bestias Carga'!$A$1:$F$17,4,FALSE),0)</f>
        <v>0</v>
      </c>
      <c r="G17" s="9">
        <f>IFERROR(VLOOKUP(Tiro!K17,'Lista Bestias Carga'!$A$1:$F$17,4,FALSE),0)</f>
        <v>0</v>
      </c>
      <c r="H17" s="9">
        <f>IFERROR(VLOOKUP(Tiro!L17,'Lista Bestias Carga'!$A$1:$F$17,4,FALSE),0)</f>
        <v>0</v>
      </c>
      <c r="I17" s="9">
        <f>IFERROR(VLOOKUP(Tiro!M17,'Lista Bestias Carga'!$A$1:$F$17,4,FALSE),0)</f>
        <v>0</v>
      </c>
      <c r="J17" s="9">
        <f>IFERROR(VLOOKUP(Tiro!N17,'Lista Bestias Carga'!$A$1:$F$17,4,FALSE),0)</f>
        <v>0</v>
      </c>
    </row>
    <row r="18">
      <c r="A18" s="9" t="str">
        <f>Caravana!A20</f>
        <v>Koya</v>
      </c>
      <c r="B18" s="9">
        <f t="shared" si="2"/>
        <v>1</v>
      </c>
      <c r="C18" s="9">
        <f>IFERROR(VLOOKUP(Tiro!G18,'Lista Bestias Carga'!$A$1:$F$17,4,FALSE),0)</f>
        <v>1</v>
      </c>
      <c r="D18" s="9">
        <f>IFERROR(VLOOKUP(Tiro!H18,'Lista Bestias Carga'!$A$1:$F$17,4,FALSE),0)</f>
        <v>0</v>
      </c>
      <c r="E18" s="9">
        <f>IFERROR(VLOOKUP(Tiro!I18,'Lista Bestias Carga'!$A$1:$F$17,4,FALSE),0)</f>
        <v>0</v>
      </c>
      <c r="F18" s="9">
        <f>IFERROR(VLOOKUP(Tiro!J18,'Lista Bestias Carga'!$A$1:$F$17,4,FALSE),0)</f>
        <v>0</v>
      </c>
      <c r="G18" s="9">
        <f>IFERROR(VLOOKUP(Tiro!K18,'Lista Bestias Carga'!$A$1:$F$17,4,FALSE),0)</f>
        <v>0</v>
      </c>
      <c r="H18" s="9">
        <f>IFERROR(VLOOKUP(Tiro!L18,'Lista Bestias Carga'!$A$1:$F$17,4,FALSE),0)</f>
        <v>0</v>
      </c>
      <c r="I18" s="9">
        <f>IFERROR(VLOOKUP(Tiro!M18,'Lista Bestias Carga'!$A$1:$F$17,4,FALSE),0)</f>
        <v>0</v>
      </c>
      <c r="J18" s="9">
        <f>IFERROR(VLOOKUP(Tiro!N18,'Lista Bestias Carga'!$A$1:$F$17,4,FALSE),0)</f>
        <v>0</v>
      </c>
    </row>
    <row r="19">
      <c r="A19" s="9" t="str">
        <f>Caravana!A21</f>
        <v>Taller</v>
      </c>
      <c r="B19" s="9">
        <f t="shared" si="2"/>
        <v>2</v>
      </c>
      <c r="C19" s="9">
        <f>IFERROR(VLOOKUP(Tiro!G19,'Lista Bestias Carga'!$A$1:$F$17,4,FALSE),0)</f>
        <v>1</v>
      </c>
      <c r="D19" s="9">
        <f>IFERROR(VLOOKUP(Tiro!H19,'Lista Bestias Carga'!$A$1:$F$17,4,FALSE),0)</f>
        <v>1</v>
      </c>
      <c r="E19" s="9">
        <f>IFERROR(VLOOKUP(Tiro!I19,'Lista Bestias Carga'!$A$1:$F$17,4,FALSE),0)</f>
        <v>0</v>
      </c>
      <c r="F19" s="9">
        <f>IFERROR(VLOOKUP(Tiro!J19,'Lista Bestias Carga'!$A$1:$F$17,4,FALSE),0)</f>
        <v>0</v>
      </c>
      <c r="G19" s="9">
        <f>IFERROR(VLOOKUP(Tiro!K19,'Lista Bestias Carga'!$A$1:$F$17,4,FALSE),0)</f>
        <v>0</v>
      </c>
      <c r="H19" s="9">
        <f>IFERROR(VLOOKUP(Tiro!L19,'Lista Bestias Carga'!$A$1:$F$17,4,FALSE),0)</f>
        <v>0</v>
      </c>
      <c r="I19" s="9">
        <f>IFERROR(VLOOKUP(Tiro!M19,'Lista Bestias Carga'!$A$1:$F$17,4,FALSE),0)</f>
        <v>0</v>
      </c>
      <c r="J19" s="9">
        <f>IFERROR(VLOOKUP(Tiro!N19,'Lista Bestias Carga'!$A$1:$F$17,4,FALSE),0)</f>
        <v>0</v>
      </c>
    </row>
    <row r="20">
      <c r="A20" s="9" t="str">
        <f>Caravana!A22</f>
        <v>Escuela</v>
      </c>
      <c r="B20" s="9">
        <f t="shared" si="2"/>
        <v>2</v>
      </c>
      <c r="C20" s="9">
        <f>IFERROR(VLOOKUP(Tiro!G20,'Lista Bestias Carga'!$A$1:$F$17,4,FALSE),0)</f>
        <v>1</v>
      </c>
      <c r="D20" s="9">
        <f>IFERROR(VLOOKUP(Tiro!H20,'Lista Bestias Carga'!$A$1:$F$17,4,FALSE),0)</f>
        <v>1</v>
      </c>
      <c r="E20" s="9">
        <f>IFERROR(VLOOKUP(Tiro!I20,'Lista Bestias Carga'!$A$1:$F$17,4,FALSE),0)</f>
        <v>0</v>
      </c>
      <c r="F20" s="9">
        <f>IFERROR(VLOOKUP(Tiro!J20,'Lista Bestias Carga'!$A$1:$F$17,4,FALSE),0)</f>
        <v>0</v>
      </c>
      <c r="G20" s="9">
        <f>IFERROR(VLOOKUP(Tiro!K20,'Lista Bestias Carga'!$A$1:$F$17,4,FALSE),0)</f>
        <v>0</v>
      </c>
      <c r="H20" s="9">
        <f>IFERROR(VLOOKUP(Tiro!L20,'Lista Bestias Carga'!$A$1:$F$17,4,FALSE),0)</f>
        <v>0</v>
      </c>
      <c r="I20" s="9">
        <f>IFERROR(VLOOKUP(Tiro!M20,'Lista Bestias Carga'!$A$1:$F$17,4,FALSE),0)</f>
        <v>0</v>
      </c>
      <c r="J20" s="9">
        <f>IFERROR(VLOOKUP(Tiro!N20,'Lista Bestias Carga'!$A$1:$F$17,4,FALSE),0)</f>
        <v>0</v>
      </c>
    </row>
    <row r="21">
      <c r="A21" s="9" t="str">
        <f>Caravana!A23</f>
        <v>Huerto Hagorsson</v>
      </c>
      <c r="B21" s="9">
        <f t="shared" si="2"/>
        <v>2</v>
      </c>
      <c r="C21" s="9">
        <f>IFERROR(VLOOKUP(Tiro!G21,'Lista Bestias Carga'!$A$1:$F$17,4,FALSE),0)</f>
        <v>1</v>
      </c>
      <c r="D21" s="9">
        <f>IFERROR(VLOOKUP(Tiro!H21,'Lista Bestias Carga'!$A$1:$F$17,4,FALSE),0)</f>
        <v>1</v>
      </c>
      <c r="E21" s="9">
        <f>IFERROR(VLOOKUP(Tiro!I21,'Lista Bestias Carga'!$A$1:$F$17,4,FALSE),0)</f>
        <v>0</v>
      </c>
      <c r="F21" s="9">
        <f>IFERROR(VLOOKUP(Tiro!J21,'Lista Bestias Carga'!$A$1:$F$17,4,FALSE),0)</f>
        <v>0</v>
      </c>
      <c r="G21" s="9">
        <f>IFERROR(VLOOKUP(Tiro!K21,'Lista Bestias Carga'!$A$1:$F$17,4,FALSE),0)</f>
        <v>0</v>
      </c>
      <c r="H21" s="9">
        <f>IFERROR(VLOOKUP(Tiro!L21,'Lista Bestias Carga'!$A$1:$F$17,4,FALSE),0)</f>
        <v>0</v>
      </c>
      <c r="I21" s="9">
        <f>IFERROR(VLOOKUP(Tiro!M21,'Lista Bestias Carga'!$A$1:$F$17,4,FALSE),0)</f>
        <v>0</v>
      </c>
      <c r="J21" s="9">
        <f>IFERROR(VLOOKUP(Tiro!N21,'Lista Bestias Carga'!$A$1:$F$17,4,FALSE),0)</f>
        <v>0</v>
      </c>
    </row>
    <row r="22">
      <c r="A22" s="9" t="str">
        <f>Caravana!A24</f>
        <v>Huerto 1</v>
      </c>
      <c r="B22" s="9">
        <f t="shared" si="2"/>
        <v>2</v>
      </c>
      <c r="C22" s="9">
        <f>IFERROR(VLOOKUP(Tiro!G22,'Lista Bestias Carga'!$A$1:$F$17,4,FALSE),0)</f>
        <v>1</v>
      </c>
      <c r="D22" s="9">
        <f>IFERROR(VLOOKUP(Tiro!H22,'Lista Bestias Carga'!$A$1:$F$17,4,FALSE),0)</f>
        <v>1</v>
      </c>
      <c r="E22" s="9">
        <f>IFERROR(VLOOKUP(Tiro!I22,'Lista Bestias Carga'!$A$1:$F$17,4,FALSE),0)</f>
        <v>0</v>
      </c>
      <c r="F22" s="9">
        <f>IFERROR(VLOOKUP(Tiro!J22,'Lista Bestias Carga'!$A$1:$F$17,4,FALSE),0)</f>
        <v>0</v>
      </c>
      <c r="G22" s="9">
        <f>IFERROR(VLOOKUP(Tiro!K22,'Lista Bestias Carga'!$A$1:$F$17,4,FALSE),0)</f>
        <v>0</v>
      </c>
      <c r="H22" s="9">
        <f>IFERROR(VLOOKUP(Tiro!L22,'Lista Bestias Carga'!$A$1:$F$17,4,FALSE),0)</f>
        <v>0</v>
      </c>
      <c r="I22" s="9">
        <f>IFERROR(VLOOKUP(Tiro!M22,'Lista Bestias Carga'!$A$1:$F$17,4,FALSE),0)</f>
        <v>0</v>
      </c>
      <c r="J22" s="9">
        <f>IFERROR(VLOOKUP(Tiro!N22,'Lista Bestias Carga'!$A$1:$F$17,4,FALSE),0)</f>
        <v>0</v>
      </c>
    </row>
    <row r="23">
      <c r="A23" s="9" t="str">
        <f>Caravana!A25</f>
        <v>Huerto 2</v>
      </c>
      <c r="B23" s="9">
        <f t="shared" si="2"/>
        <v>2</v>
      </c>
      <c r="C23" s="9">
        <f>IFERROR(VLOOKUP(Tiro!G23,'Lista Bestias Carga'!$A$1:$F$17,4,FALSE),0)</f>
        <v>1</v>
      </c>
      <c r="D23" s="9">
        <f>IFERROR(VLOOKUP(Tiro!H23,'Lista Bestias Carga'!$A$1:$F$17,4,FALSE),0)</f>
        <v>1</v>
      </c>
      <c r="E23" s="9">
        <f>IFERROR(VLOOKUP(Tiro!I23,'Lista Bestias Carga'!$A$1:$F$17,4,FALSE),0)</f>
        <v>0</v>
      </c>
      <c r="F23" s="9">
        <f>IFERROR(VLOOKUP(Tiro!J23,'Lista Bestias Carga'!$A$1:$F$17,4,FALSE),0)</f>
        <v>0</v>
      </c>
      <c r="G23" s="9">
        <f>IFERROR(VLOOKUP(Tiro!K23,'Lista Bestias Carga'!$A$1:$F$17,4,FALSE),0)</f>
        <v>0</v>
      </c>
      <c r="H23" s="9">
        <f>IFERROR(VLOOKUP(Tiro!L23,'Lista Bestias Carga'!$A$1:$F$17,4,FALSE),0)</f>
        <v>0</v>
      </c>
      <c r="I23" s="9">
        <f>IFERROR(VLOOKUP(Tiro!M23,'Lista Bestias Carga'!$A$1:$F$17,4,FALSE),0)</f>
        <v>0</v>
      </c>
      <c r="J23" s="9">
        <f>IFERROR(VLOOKUP(Tiro!N23,'Lista Bestias Carga'!$A$1:$F$17,4,FALSE),0)</f>
        <v>0</v>
      </c>
    </row>
    <row r="24">
      <c r="A24" s="9" t="str">
        <f>Caravana!A26</f>
        <v>Hospital</v>
      </c>
      <c r="B24" s="9">
        <f t="shared" si="2"/>
        <v>2</v>
      </c>
      <c r="C24" s="9">
        <f>IFERROR(VLOOKUP(Tiro!G24,'Lista Bestias Carga'!$A$1:$F$17,4,FALSE),0)</f>
        <v>1</v>
      </c>
      <c r="D24" s="9">
        <f>IFERROR(VLOOKUP(Tiro!H24,'Lista Bestias Carga'!$A$1:$F$17,4,FALSE),0)</f>
        <v>1</v>
      </c>
      <c r="E24" s="9">
        <f>IFERROR(VLOOKUP(Tiro!I24,'Lista Bestias Carga'!$A$1:$F$17,4,FALSE),0)</f>
        <v>0</v>
      </c>
      <c r="F24" s="9">
        <f>IFERROR(VLOOKUP(Tiro!J24,'Lista Bestias Carga'!$A$1:$F$17,4,FALSE),0)</f>
        <v>0</v>
      </c>
      <c r="G24" s="9">
        <f>IFERROR(VLOOKUP(Tiro!K24,'Lista Bestias Carga'!$A$1:$F$17,4,FALSE),0)</f>
        <v>0</v>
      </c>
      <c r="H24" s="9">
        <f>IFERROR(VLOOKUP(Tiro!L24,'Lista Bestias Carga'!$A$1:$F$17,4,FALSE),0)</f>
        <v>0</v>
      </c>
      <c r="I24" s="9">
        <f>IFERROR(VLOOKUP(Tiro!M24,'Lista Bestias Carga'!$A$1:$F$17,4,FALSE),0)</f>
        <v>0</v>
      </c>
      <c r="J24" s="9">
        <f>IFERROR(VLOOKUP(Tiro!N24,'Lista Bestias Carga'!$A$1:$F$17,4,FALSE),0)</f>
        <v>0</v>
      </c>
    </row>
    <row r="25">
      <c r="A25" s="9" t="str">
        <f>Caravana!A27</f>
        <v>Bar sin límites</v>
      </c>
      <c r="B25" s="9">
        <f t="shared" si="2"/>
        <v>2</v>
      </c>
      <c r="C25" s="9">
        <f>IFERROR(VLOOKUP(Tiro!G25,'Lista Bestias Carga'!$A$1:$F$17,4,FALSE),0)</f>
        <v>1</v>
      </c>
      <c r="D25" s="9">
        <f>IFERROR(VLOOKUP(Tiro!H25,'Lista Bestias Carga'!$A$1:$F$17,4,FALSE),0)</f>
        <v>1</v>
      </c>
      <c r="E25" s="9">
        <f>IFERROR(VLOOKUP(Tiro!I25,'Lista Bestias Carga'!$A$1:$F$17,4,FALSE),0)</f>
        <v>0</v>
      </c>
      <c r="F25" s="9">
        <f>IFERROR(VLOOKUP(Tiro!J25,'Lista Bestias Carga'!$A$1:$F$17,4,FALSE),0)</f>
        <v>0</v>
      </c>
      <c r="G25" s="9">
        <f>IFERROR(VLOOKUP(Tiro!K25,'Lista Bestias Carga'!$A$1:$F$17,4,FALSE),0)</f>
        <v>0</v>
      </c>
      <c r="H25" s="9">
        <f>IFERROR(VLOOKUP(Tiro!L25,'Lista Bestias Carga'!$A$1:$F$17,4,FALSE),0)</f>
        <v>0</v>
      </c>
      <c r="I25" s="9">
        <f>IFERROR(VLOOKUP(Tiro!M25,'Lista Bestias Carga'!$A$1:$F$17,4,FALSE),0)</f>
        <v>0</v>
      </c>
      <c r="J25" s="9">
        <f>IFERROR(VLOOKUP(Tiro!N25,'Lista Bestias Carga'!$A$1:$F$17,4,FALSE),0)</f>
        <v>0</v>
      </c>
    </row>
    <row r="26">
      <c r="A26" s="9" t="str">
        <f>Caravana!A28</f>
        <v>Cómodo 1</v>
      </c>
      <c r="B26" s="9">
        <f t="shared" si="2"/>
        <v>2</v>
      </c>
      <c r="C26" s="9">
        <f>IFERROR(VLOOKUP(Tiro!G26,'Lista Bestias Carga'!$A$1:$F$17,4,FALSE),0)</f>
        <v>1</v>
      </c>
      <c r="D26" s="9">
        <f>IFERROR(VLOOKUP(Tiro!H26,'Lista Bestias Carga'!$A$1:$F$17,4,FALSE),0)</f>
        <v>1</v>
      </c>
      <c r="E26" s="9">
        <f>IFERROR(VLOOKUP(Tiro!I26,'Lista Bestias Carga'!$A$1:$F$17,4,FALSE),0)</f>
        <v>0</v>
      </c>
      <c r="F26" s="9">
        <f>IFERROR(VLOOKUP(Tiro!J26,'Lista Bestias Carga'!$A$1:$F$17,4,FALSE),0)</f>
        <v>0</v>
      </c>
      <c r="G26" s="9">
        <f>IFERROR(VLOOKUP(Tiro!K26,'Lista Bestias Carga'!$A$1:$F$17,4,FALSE),0)</f>
        <v>0</v>
      </c>
      <c r="H26" s="9">
        <f>IFERROR(VLOOKUP(Tiro!L26,'Lista Bestias Carga'!$A$1:$F$17,4,FALSE),0)</f>
        <v>0</v>
      </c>
      <c r="I26" s="9">
        <f>IFERROR(VLOOKUP(Tiro!M26,'Lista Bestias Carga'!$A$1:$F$17,4,FALSE),0)</f>
        <v>0</v>
      </c>
      <c r="J26" s="9">
        <f>IFERROR(VLOOKUP(Tiro!N26,'Lista Bestias Carga'!$A$1:$F$17,4,FALSE),0)</f>
        <v>0</v>
      </c>
    </row>
    <row r="27">
      <c r="A27" s="9" t="str">
        <f>Caravana!A29</f>
        <v>Cómodo 2</v>
      </c>
      <c r="B27" s="9">
        <f t="shared" si="2"/>
        <v>2</v>
      </c>
      <c r="C27" s="9">
        <f>IFERROR(VLOOKUP(Tiro!G27,'Lista Bestias Carga'!$A$1:$F$17,4,FALSE),0)</f>
        <v>1</v>
      </c>
      <c r="D27" s="9">
        <f>IFERROR(VLOOKUP(Tiro!H27,'Lista Bestias Carga'!$A$1:$F$17,4,FALSE),0)</f>
        <v>1</v>
      </c>
      <c r="E27" s="9">
        <f>IFERROR(VLOOKUP(Tiro!I27,'Lista Bestias Carga'!$A$1:$F$17,4,FALSE),0)</f>
        <v>0</v>
      </c>
      <c r="F27" s="9">
        <f>IFERROR(VLOOKUP(Tiro!J27,'Lista Bestias Carga'!$A$1:$F$17,4,FALSE),0)</f>
        <v>0</v>
      </c>
      <c r="G27" s="9">
        <f>IFERROR(VLOOKUP(Tiro!K27,'Lista Bestias Carga'!$A$1:$F$17,4,FALSE),0)</f>
        <v>0</v>
      </c>
      <c r="H27" s="9">
        <f>IFERROR(VLOOKUP(Tiro!L27,'Lista Bestias Carga'!$A$1:$F$17,4,FALSE),0)</f>
        <v>0</v>
      </c>
      <c r="I27" s="9">
        <f>IFERROR(VLOOKUP(Tiro!M27,'Lista Bestias Carga'!$A$1:$F$17,4,FALSE),0)</f>
        <v>0</v>
      </c>
      <c r="J27" s="9">
        <f>IFERROR(VLOOKUP(Tiro!N27,'Lista Bestias Carga'!$A$1:$F$17,4,FALSE),0)</f>
        <v>0</v>
      </c>
    </row>
    <row r="28">
      <c r="A28" s="9" t="str">
        <f>Caravana!A30</f>
        <v>Real</v>
      </c>
      <c r="B28" s="9">
        <f t="shared" si="2"/>
        <v>4</v>
      </c>
      <c r="C28" s="9">
        <f>IFERROR(VLOOKUP(Tiro!G28,'Lista Bestias Carga'!$A$1:$F$17,4,FALSE),0)</f>
        <v>1</v>
      </c>
      <c r="D28" s="9">
        <f>IFERROR(VLOOKUP(Tiro!H28,'Lista Bestias Carga'!$A$1:$F$17,4,FALSE),0)</f>
        <v>1</v>
      </c>
      <c r="E28" s="9">
        <f>IFERROR(VLOOKUP(Tiro!I28,'Lista Bestias Carga'!$A$1:$F$17,4,FALSE),0)</f>
        <v>1</v>
      </c>
      <c r="F28" s="9">
        <f>IFERROR(VLOOKUP(Tiro!J28,'Lista Bestias Carga'!$A$1:$F$17,4,FALSE),0)</f>
        <v>1</v>
      </c>
      <c r="G28" s="9">
        <f>IFERROR(VLOOKUP(Tiro!K28,'Lista Bestias Carga'!$A$1:$F$17,4,FALSE),0)</f>
        <v>0</v>
      </c>
      <c r="H28" s="9">
        <f>IFERROR(VLOOKUP(Tiro!L28,'Lista Bestias Carga'!$A$1:$F$17,4,FALSE),0)</f>
        <v>0</v>
      </c>
      <c r="I28" s="9">
        <f>IFERROR(VLOOKUP(Tiro!M28,'Lista Bestias Carga'!$A$1:$F$17,4,FALSE),0)</f>
        <v>0</v>
      </c>
      <c r="J28" s="9">
        <f>IFERROR(VLOOKUP(Tiro!N28,'Lista Bestias Carga'!$A$1:$F$17,4,FALSE),0)</f>
        <v>0</v>
      </c>
    </row>
    <row r="29">
      <c r="A29" s="9" t="str">
        <f>Caravana!A31</f>
        <v>Viajeros grande</v>
      </c>
      <c r="B29" s="9">
        <f t="shared" si="2"/>
        <v>2</v>
      </c>
      <c r="C29" s="9">
        <f>IFERROR(VLOOKUP(Tiro!G29,'Lista Bestias Carga'!$A$1:$F$17,4,FALSE),0)</f>
        <v>1</v>
      </c>
      <c r="D29" s="9">
        <f>IFERROR(VLOOKUP(Tiro!H29,'Lista Bestias Carga'!$A$1:$F$17,4,FALSE),0)</f>
        <v>1</v>
      </c>
      <c r="E29" s="9">
        <f>IFERROR(VLOOKUP(Tiro!I29,'Lista Bestias Carga'!$A$1:$F$17,4,FALSE),0)</f>
        <v>0</v>
      </c>
      <c r="F29" s="9">
        <f>IFERROR(VLOOKUP(Tiro!J29,'Lista Bestias Carga'!$A$1:$F$17,4,FALSE),0)</f>
        <v>0</v>
      </c>
      <c r="G29" s="9">
        <f>IFERROR(VLOOKUP(Tiro!K29,'Lista Bestias Carga'!$A$1:$F$17,4,FALSE),0)</f>
        <v>0</v>
      </c>
      <c r="H29" s="9">
        <f>IFERROR(VLOOKUP(Tiro!L29,'Lista Bestias Carga'!$A$1:$F$17,4,FALSE),0)</f>
        <v>0</v>
      </c>
      <c r="I29" s="9">
        <f>IFERROR(VLOOKUP(Tiro!M29,'Lista Bestias Carga'!$A$1:$F$17,4,FALSE),0)</f>
        <v>0</v>
      </c>
      <c r="J29" s="9">
        <f>IFERROR(VLOOKUP(Tiro!N29,'Lista Bestias Carga'!$A$1:$F$17,4,FALSE),0)</f>
        <v>0</v>
      </c>
    </row>
    <row r="30">
      <c r="A30" s="9" t="str">
        <f>Caravana!A32</f>
        <v/>
      </c>
      <c r="B30" s="9">
        <f t="shared" si="2"/>
        <v>0</v>
      </c>
      <c r="C30" s="9">
        <f>IFERROR(VLOOKUP(Tiro!G30,'Lista Bestias Carga'!$A$1:$F$17,4,FALSE),0)</f>
        <v>0</v>
      </c>
      <c r="D30" s="9">
        <f>IFERROR(VLOOKUP(Tiro!H30,'Lista Bestias Carga'!$A$1:$F$17,4,FALSE),0)</f>
        <v>0</v>
      </c>
      <c r="E30" s="9">
        <f>IFERROR(VLOOKUP(Tiro!I30,'Lista Bestias Carga'!$A$1:$F$17,4,FALSE),0)</f>
        <v>0</v>
      </c>
      <c r="F30" s="9">
        <f>IFERROR(VLOOKUP(Tiro!J30,'Lista Bestias Carga'!$A$1:$F$17,4,FALSE),0)</f>
        <v>0</v>
      </c>
      <c r="G30" s="9">
        <f>IFERROR(VLOOKUP(Tiro!K30,'Lista Bestias Carga'!$A$1:$F$17,4,FALSE),0)</f>
        <v>0</v>
      </c>
      <c r="H30" s="9">
        <f>IFERROR(VLOOKUP(Tiro!L30,'Lista Bestias Carga'!$A$1:$F$17,4,FALSE),0)</f>
        <v>0</v>
      </c>
      <c r="I30" s="9">
        <f>IFERROR(VLOOKUP(Tiro!M30,'Lista Bestias Carga'!$A$1:$F$17,4,FALSE),0)</f>
        <v>0</v>
      </c>
      <c r="J30" s="9">
        <f>IFERROR(VLOOKUP(Tiro!N30,'Lista Bestias Carga'!$A$1:$F$17,4,FALSE),0)</f>
        <v>0</v>
      </c>
    </row>
    <row r="31">
      <c r="A31" s="9" t="str">
        <f>Caravana!A33</f>
        <v/>
      </c>
      <c r="B31" s="9">
        <f t="shared" si="2"/>
        <v>0</v>
      </c>
      <c r="C31" s="9">
        <f>IFERROR(VLOOKUP(Tiro!G31,'Lista Bestias Carga'!$A$1:$F$17,4,FALSE),0)</f>
        <v>0</v>
      </c>
      <c r="D31" s="9">
        <f>IFERROR(VLOOKUP(Tiro!H31,'Lista Bestias Carga'!$A$1:$F$17,4,FALSE),0)</f>
        <v>0</v>
      </c>
      <c r="E31" s="9">
        <f>IFERROR(VLOOKUP(Tiro!I31,'Lista Bestias Carga'!$A$1:$F$17,4,FALSE),0)</f>
        <v>0</v>
      </c>
      <c r="F31" s="9">
        <f>IFERROR(VLOOKUP(Tiro!J31,'Lista Bestias Carga'!$A$1:$F$17,4,FALSE),0)</f>
        <v>0</v>
      </c>
      <c r="G31" s="9">
        <f>IFERROR(VLOOKUP(Tiro!K31,'Lista Bestias Carga'!$A$1:$F$17,4,FALSE),0)</f>
        <v>0</v>
      </c>
      <c r="H31" s="9">
        <f>IFERROR(VLOOKUP(Tiro!L31,'Lista Bestias Carga'!$A$1:$F$17,4,FALSE),0)</f>
        <v>0</v>
      </c>
      <c r="I31" s="9">
        <f>IFERROR(VLOOKUP(Tiro!M31,'Lista Bestias Carga'!$A$1:$F$17,4,FALSE),0)</f>
        <v>0</v>
      </c>
      <c r="J31" s="9">
        <f>IFERROR(VLOOKUP(Tiro!N31,'Lista Bestias Carga'!$A$1:$F$17,4,FALSE),0)</f>
        <v>0</v>
      </c>
    </row>
    <row r="32">
      <c r="A32" s="9" t="str">
        <f>Caravana!A34</f>
        <v/>
      </c>
      <c r="B32" s="9">
        <f t="shared" si="2"/>
        <v>0</v>
      </c>
      <c r="C32" s="9">
        <f>IFERROR(VLOOKUP(Tiro!G32,'Lista Bestias Carga'!$A$1:$F$17,4,FALSE),0)</f>
        <v>0</v>
      </c>
      <c r="D32" s="9">
        <f>IFERROR(VLOOKUP(Tiro!H32,'Lista Bestias Carga'!$A$1:$F$17,4,FALSE),0)</f>
        <v>0</v>
      </c>
      <c r="E32" s="9">
        <f>IFERROR(VLOOKUP(Tiro!I32,'Lista Bestias Carga'!$A$1:$F$17,4,FALSE),0)</f>
        <v>0</v>
      </c>
      <c r="F32" s="9">
        <f>IFERROR(VLOOKUP(Tiro!J32,'Lista Bestias Carga'!$A$1:$F$17,4,FALSE),0)</f>
        <v>0</v>
      </c>
      <c r="G32" s="9">
        <f>IFERROR(VLOOKUP(Tiro!K32,'Lista Bestias Carga'!$A$1:$F$17,4,FALSE),0)</f>
        <v>0</v>
      </c>
      <c r="H32" s="9">
        <f>IFERROR(VLOOKUP(Tiro!L32,'Lista Bestias Carga'!$A$1:$F$17,4,FALSE),0)</f>
        <v>0</v>
      </c>
      <c r="I32" s="9">
        <f>IFERROR(VLOOKUP(Tiro!M32,'Lista Bestias Carga'!$A$1:$F$17,4,FALSE),0)</f>
        <v>0</v>
      </c>
      <c r="J32" s="9">
        <f>IFERROR(VLOOKUP(Tiro!N32,'Lista Bestias Carga'!$A$1:$F$17,4,FALSE),0)</f>
        <v>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7</v>
      </c>
      <c r="B1" s="33" t="s">
        <v>349</v>
      </c>
      <c r="C1" s="33">
        <v>1.0</v>
      </c>
      <c r="D1" s="33">
        <f t="shared" ref="D1:Q1" si="1">C1+1</f>
        <v>2</v>
      </c>
      <c r="E1" s="33">
        <f t="shared" si="1"/>
        <v>3</v>
      </c>
      <c r="F1" s="33">
        <f t="shared" si="1"/>
        <v>4</v>
      </c>
      <c r="G1" s="33">
        <f t="shared" si="1"/>
        <v>5</v>
      </c>
      <c r="H1" s="33">
        <f t="shared" si="1"/>
        <v>6</v>
      </c>
      <c r="I1" s="33">
        <f t="shared" si="1"/>
        <v>7</v>
      </c>
      <c r="J1" s="33">
        <f t="shared" si="1"/>
        <v>8</v>
      </c>
      <c r="K1" s="33">
        <f t="shared" si="1"/>
        <v>9</v>
      </c>
      <c r="L1" s="33">
        <f t="shared" si="1"/>
        <v>10</v>
      </c>
      <c r="M1" s="33">
        <f t="shared" si="1"/>
        <v>11</v>
      </c>
      <c r="N1" s="33">
        <f t="shared" si="1"/>
        <v>12</v>
      </c>
      <c r="O1" s="33">
        <f t="shared" si="1"/>
        <v>13</v>
      </c>
      <c r="P1" s="33">
        <f t="shared" si="1"/>
        <v>14</v>
      </c>
      <c r="Q1" s="33">
        <f t="shared" si="1"/>
        <v>15</v>
      </c>
    </row>
    <row r="2">
      <c r="A2" s="9" t="str">
        <f>Caravana!A4</f>
        <v>Viajeros 1</v>
      </c>
      <c r="B2" s="9">
        <f t="shared" ref="B2:B32" si="2">SUM(C2:Q2)</f>
        <v>8</v>
      </c>
      <c r="C2" s="9">
        <f>IFERROR(VLOOKUP(Hospedaje!E2,Viajeros!$A$3:$G$102,7,FALSE),0)</f>
        <v>1</v>
      </c>
      <c r="D2" s="9">
        <f>IFERROR(VLOOKUP(Hospedaje!F2,Viajeros!$A$3:$G$102,7,FALSE),0)</f>
        <v>1</v>
      </c>
      <c r="E2" s="9">
        <f>IFERROR(VLOOKUP(Hospedaje!G2,Viajeros!$A$3:$G$102,7,FALSE),0)</f>
        <v>1</v>
      </c>
      <c r="F2" s="9">
        <f>IFERROR(VLOOKUP(Hospedaje!H2,Viajeros!$A$3:$G$102,7,FALSE),0)</f>
        <v>1</v>
      </c>
      <c r="G2" s="9">
        <f>IFERROR(VLOOKUP(Hospedaje!I2,Viajeros!$A$3:$G$102,7,FALSE),0)</f>
        <v>1</v>
      </c>
      <c r="H2" s="9">
        <f>IFERROR(VLOOKUP(Hospedaje!J2,Viajeros!$A$3:$G$102,7,FALSE),0)</f>
        <v>1</v>
      </c>
      <c r="I2" s="9">
        <f>IFERROR(VLOOKUP(Hospedaje!K2,Viajeros!$A$3:$G$102,7,FALSE),0)</f>
        <v>1</v>
      </c>
      <c r="J2" s="9">
        <f>IFERROR(VLOOKUP(Hospedaje!L2,Viajeros!$A$3:$G$102,7,FALSE),0)</f>
        <v>1</v>
      </c>
      <c r="K2" s="9">
        <f>IFERROR(VLOOKUP(Hospedaje!M2,Viajeros!$A$3:$G$102,7,FALSE),0)</f>
        <v>0</v>
      </c>
      <c r="L2" s="9">
        <f>IFERROR(VLOOKUP(Hospedaje!N2,Viajeros!$A$3:$G$102,7,FALSE),0)</f>
        <v>0</v>
      </c>
      <c r="M2" s="9">
        <f>IFERROR(VLOOKUP(Hospedaje!O2,Viajeros!$A$3:$G$102,7,FALSE),0)</f>
        <v>0</v>
      </c>
      <c r="N2" s="9">
        <f>IFERROR(VLOOKUP(Hospedaje!P2,Viajeros!$A$3:$G$102,7,FALSE),0)</f>
        <v>0</v>
      </c>
      <c r="O2" s="9">
        <f>IFERROR(VLOOKUP(Hospedaje!Q2,Viajeros!$A$3:$G$102,7,FALSE),0)</f>
        <v>0</v>
      </c>
      <c r="P2" s="9">
        <f>IFERROR(VLOOKUP(Hospedaje!R2,Viajeros!$A$3:$G$102,7,FALSE),0)</f>
        <v>0</v>
      </c>
      <c r="Q2" s="9">
        <f>IFERROR(VLOOKUP(Hospedaje!S2,Viajeros!$A$3:$G$102,7,FALSE),0)</f>
        <v>0</v>
      </c>
    </row>
    <row r="3">
      <c r="A3" s="9" t="str">
        <f>Caravana!A5</f>
        <v>Viajeros 2</v>
      </c>
      <c r="B3" s="9">
        <f t="shared" si="2"/>
        <v>7</v>
      </c>
      <c r="C3" s="9">
        <f>IFERROR(VLOOKUP(Hospedaje!E3,Viajeros!$A$3:$G$102,7,FALSE),0)</f>
        <v>1</v>
      </c>
      <c r="D3" s="9">
        <f>IFERROR(VLOOKUP(Hospedaje!F3,Viajeros!$A$3:$G$102,7,FALSE),0)</f>
        <v>1</v>
      </c>
      <c r="E3" s="9">
        <f>IFERROR(VLOOKUP(Hospedaje!G3,Viajeros!$A$3:$G$102,7,FALSE),0)</f>
        <v>1</v>
      </c>
      <c r="F3" s="9">
        <f>IFERROR(VLOOKUP(Hospedaje!H3,Viajeros!$A$3:$G$102,7,FALSE),0)</f>
        <v>1</v>
      </c>
      <c r="G3" s="9">
        <f>IFERROR(VLOOKUP(Hospedaje!I3,Viajeros!$A$3:$G$102,7,FALSE),0)</f>
        <v>1</v>
      </c>
      <c r="H3" s="9">
        <f>IFERROR(VLOOKUP(Hospedaje!J3,Viajeros!$A$3:$G$102,7,FALSE),0)</f>
        <v>1</v>
      </c>
      <c r="I3" s="9">
        <f>IFERROR(VLOOKUP(Hospedaje!K3,Viajeros!$A$3:$G$102,7,FALSE),0)</f>
        <v>1</v>
      </c>
      <c r="J3" s="9">
        <f>IFERROR(VLOOKUP(Hospedaje!L3,Viajeros!$A$3:$G$102,7,FALSE),0)</f>
        <v>0</v>
      </c>
      <c r="K3" s="9">
        <f>IFERROR(VLOOKUP(Hospedaje!M3,Viajeros!$A$3:$G$102,7,FALSE),0)</f>
        <v>0</v>
      </c>
      <c r="L3" s="9">
        <f>IFERROR(VLOOKUP(Hospedaje!N3,Viajeros!$A$3:$G$102,7,FALSE),0)</f>
        <v>0</v>
      </c>
      <c r="M3" s="9">
        <f>IFERROR(VLOOKUP(Hospedaje!O3,Viajeros!$A$3:$G$102,7,FALSE),0)</f>
        <v>0</v>
      </c>
      <c r="N3" s="9">
        <f>IFERROR(VLOOKUP(Hospedaje!P3,Viajeros!$A$3:$G$102,7,FALSE),0)</f>
        <v>0</v>
      </c>
      <c r="O3" s="9">
        <f>IFERROR(VLOOKUP(Hospedaje!Q3,Viajeros!$A$3:$G$102,7,FALSE),0)</f>
        <v>0</v>
      </c>
      <c r="P3" s="9">
        <f>IFERROR(VLOOKUP(Hospedaje!R3,Viajeros!$A$3:$G$102,7,FALSE),0)</f>
        <v>0</v>
      </c>
      <c r="Q3" s="9">
        <f>IFERROR(VLOOKUP(Hospedaje!S3,Viajeros!$A$3:$G$102,7,FALSE),0)</f>
        <v>0</v>
      </c>
    </row>
    <row r="4">
      <c r="A4" s="9" t="str">
        <f>Caravana!A6</f>
        <v>Viajeros 3</v>
      </c>
      <c r="B4" s="9">
        <f t="shared" si="2"/>
        <v>7</v>
      </c>
      <c r="C4" s="9">
        <f>IFERROR(VLOOKUP(Hospedaje!E4,Viajeros!$A$3:$G$102,7,FALSE),0)</f>
        <v>1</v>
      </c>
      <c r="D4" s="9">
        <f>IFERROR(VLOOKUP(Hospedaje!F4,Viajeros!$A$3:$G$102,7,FALSE),0)</f>
        <v>1</v>
      </c>
      <c r="E4" s="9">
        <f>IFERROR(VLOOKUP(Hospedaje!G4,Viajeros!$A$3:$G$102,7,FALSE),0)</f>
        <v>1</v>
      </c>
      <c r="F4" s="9">
        <f>IFERROR(VLOOKUP(Hospedaje!H4,Viajeros!$A$3:$G$102,7,FALSE),0)</f>
        <v>1</v>
      </c>
      <c r="G4" s="9">
        <f>IFERROR(VLOOKUP(Hospedaje!I4,Viajeros!$A$3:$G$102,7,FALSE),0)</f>
        <v>1</v>
      </c>
      <c r="H4" s="9">
        <f>IFERROR(VLOOKUP(Hospedaje!J4,Viajeros!$A$3:$G$102,7,FALSE),0)</f>
        <v>1</v>
      </c>
      <c r="I4" s="9">
        <f>IFERROR(VLOOKUP(Hospedaje!K4,Viajeros!$A$3:$G$102,7,FALSE),0)</f>
        <v>1</v>
      </c>
      <c r="J4" s="9">
        <f>IFERROR(VLOOKUP(Hospedaje!L4,Viajeros!$A$3:$G$102,7,FALSE),0)</f>
        <v>0</v>
      </c>
      <c r="K4" s="9">
        <f>IFERROR(VLOOKUP(Hospedaje!M4,Viajeros!$A$3:$G$102,7,FALSE),0)</f>
        <v>0</v>
      </c>
      <c r="L4" s="9">
        <f>IFERROR(VLOOKUP(Hospedaje!N4,Viajeros!$A$3:$G$102,7,FALSE),0)</f>
        <v>0</v>
      </c>
      <c r="M4" s="9">
        <f>IFERROR(VLOOKUP(Hospedaje!O4,Viajeros!$A$3:$G$102,7,FALSE),0)</f>
        <v>0</v>
      </c>
      <c r="N4" s="9">
        <f>IFERROR(VLOOKUP(Hospedaje!P4,Viajeros!$A$3:$G$102,7,FALSE),0)</f>
        <v>0</v>
      </c>
      <c r="O4" s="9">
        <f>IFERROR(VLOOKUP(Hospedaje!Q4,Viajeros!$A$3:$G$102,7,FALSE),0)</f>
        <v>0</v>
      </c>
      <c r="P4" s="9">
        <f>IFERROR(VLOOKUP(Hospedaje!R4,Viajeros!$A$3:$G$102,7,FALSE),0)</f>
        <v>0</v>
      </c>
      <c r="Q4" s="9">
        <f>IFERROR(VLOOKUP(Hospedaje!S4,Viajeros!$A$3:$G$102,7,FALSE),0)</f>
        <v>0</v>
      </c>
    </row>
    <row r="5">
      <c r="A5" s="9" t="str">
        <f>Caravana!A7</f>
        <v>Viajeros 4</v>
      </c>
      <c r="B5" s="9">
        <f t="shared" si="2"/>
        <v>7</v>
      </c>
      <c r="C5" s="9">
        <f>IFERROR(VLOOKUP(Hospedaje!E5,Viajeros!$A$3:$G$102,7,FALSE),0)</f>
        <v>1</v>
      </c>
      <c r="D5" s="9">
        <f>IFERROR(VLOOKUP(Hospedaje!F5,Viajeros!$A$3:$G$102,7,FALSE),0)</f>
        <v>1</v>
      </c>
      <c r="E5" s="9">
        <f>IFERROR(VLOOKUP(Hospedaje!G5,Viajeros!$A$3:$G$102,7,FALSE),0)</f>
        <v>1</v>
      </c>
      <c r="F5" s="9">
        <f>IFERROR(VLOOKUP(Hospedaje!H5,Viajeros!$A$3:$G$102,7,FALSE),0)</f>
        <v>1</v>
      </c>
      <c r="G5" s="9">
        <f>IFERROR(VLOOKUP(Hospedaje!I5,Viajeros!$A$3:$G$102,7,FALSE),0)</f>
        <v>1</v>
      </c>
      <c r="H5" s="9">
        <f>IFERROR(VLOOKUP(Hospedaje!J5,Viajeros!$A$3:$G$102,7,FALSE),0)</f>
        <v>1</v>
      </c>
      <c r="I5" s="9">
        <f>IFERROR(VLOOKUP(Hospedaje!K5,Viajeros!$A$3:$G$102,7,FALSE),0)</f>
        <v>1</v>
      </c>
      <c r="J5" s="9">
        <f>IFERROR(VLOOKUP(Hospedaje!L5,Viajeros!$A$3:$G$102,7,FALSE),0)</f>
        <v>0</v>
      </c>
      <c r="K5" s="9">
        <f>IFERROR(VLOOKUP(Hospedaje!M5,Viajeros!$A$3:$G$102,7,FALSE),0)</f>
        <v>0</v>
      </c>
      <c r="L5" s="9">
        <f>IFERROR(VLOOKUP(Hospedaje!N5,Viajeros!$A$3:$G$102,7,FALSE),0)</f>
        <v>0</v>
      </c>
      <c r="M5" s="9">
        <f>IFERROR(VLOOKUP(Hospedaje!O5,Viajeros!$A$3:$G$102,7,FALSE),0)</f>
        <v>0</v>
      </c>
      <c r="N5" s="9">
        <f>IFERROR(VLOOKUP(Hospedaje!P5,Viajeros!$A$3:$G$102,7,FALSE),0)</f>
        <v>0</v>
      </c>
      <c r="O5" s="9">
        <f>IFERROR(VLOOKUP(Hospedaje!Q5,Viajeros!$A$3:$G$102,7,FALSE),0)</f>
        <v>0</v>
      </c>
      <c r="P5" s="9">
        <f>IFERROR(VLOOKUP(Hospedaje!R5,Viajeros!$A$3:$G$102,7,FALSE),0)</f>
        <v>0</v>
      </c>
      <c r="Q5" s="9">
        <f>IFERROR(VLOOKUP(Hospedaje!S5,Viajeros!$A$3:$G$102,7,FALSE),0)</f>
        <v>0</v>
      </c>
    </row>
    <row r="6">
      <c r="A6" s="9" t="str">
        <f>Caravana!A8</f>
        <v>Viajeros 5</v>
      </c>
      <c r="B6" s="9">
        <f t="shared" si="2"/>
        <v>6</v>
      </c>
      <c r="C6" s="9">
        <f>IFERROR(VLOOKUP(Hospedaje!E6,Viajeros!$A$3:$G$102,7,FALSE),0)</f>
        <v>1</v>
      </c>
      <c r="D6" s="9">
        <f>IFERROR(VLOOKUP(Hospedaje!F6,Viajeros!$A$3:$G$102,7,FALSE),0)</f>
        <v>1</v>
      </c>
      <c r="E6" s="9">
        <f>IFERROR(VLOOKUP(Hospedaje!G6,Viajeros!$A$3:$G$102,7,FALSE),0)</f>
        <v>1</v>
      </c>
      <c r="F6" s="9">
        <f>IFERROR(VLOOKUP(Hospedaje!H6,Viajeros!$A$3:$G$102,7,FALSE),0)</f>
        <v>1</v>
      </c>
      <c r="G6" s="9">
        <f>IFERROR(VLOOKUP(Hospedaje!I6,Viajeros!$A$3:$G$102,7,FALSE),0)</f>
        <v>1</v>
      </c>
      <c r="H6" s="9">
        <f>IFERROR(VLOOKUP(Hospedaje!J6,Viajeros!$A$3:$G$102,7,FALSE),0)</f>
        <v>1</v>
      </c>
      <c r="I6" s="9">
        <f>IFERROR(VLOOKUP(Hospedaje!K6,Viajeros!$A$3:$G$102,7,FALSE),0)</f>
        <v>0</v>
      </c>
      <c r="J6" s="9">
        <f>IFERROR(VLOOKUP(Hospedaje!L6,Viajeros!$A$3:$G$102,7,FALSE),0)</f>
        <v>0</v>
      </c>
      <c r="K6" s="9">
        <f>IFERROR(VLOOKUP(Hospedaje!M6,Viajeros!$A$3:$G$102,7,FALSE),0)</f>
        <v>0</v>
      </c>
      <c r="L6" s="9">
        <f>IFERROR(VLOOKUP(Hospedaje!N6,Viajeros!$A$3:$G$102,7,FALSE),0)</f>
        <v>0</v>
      </c>
      <c r="M6" s="9">
        <f>IFERROR(VLOOKUP(Hospedaje!O6,Viajeros!$A$3:$G$102,7,FALSE),0)</f>
        <v>0</v>
      </c>
      <c r="N6" s="9">
        <f>IFERROR(VLOOKUP(Hospedaje!P6,Viajeros!$A$3:$G$102,7,FALSE),0)</f>
        <v>0</v>
      </c>
      <c r="O6" s="9">
        <f>IFERROR(VLOOKUP(Hospedaje!Q6,Viajeros!$A$3:$G$102,7,FALSE),0)</f>
        <v>0</v>
      </c>
      <c r="P6" s="9">
        <f>IFERROR(VLOOKUP(Hospedaje!R6,Viajeros!$A$3:$G$102,7,FALSE),0)</f>
        <v>0</v>
      </c>
      <c r="Q6" s="9">
        <f>IFERROR(VLOOKUP(Hospedaje!S6,Viajeros!$A$3:$G$102,7,FALSE),0)</f>
        <v>0</v>
      </c>
    </row>
    <row r="7">
      <c r="A7" s="9" t="str">
        <f>Caravana!A9</f>
        <v>Prisioneros</v>
      </c>
      <c r="B7" s="9">
        <f t="shared" si="2"/>
        <v>0</v>
      </c>
      <c r="C7" s="9">
        <f>IFERROR(VLOOKUP(Hospedaje!E7,Viajeros!$A$3:$G$102,7,FALSE),0)</f>
        <v>0</v>
      </c>
      <c r="D7" s="9">
        <f>IFERROR(VLOOKUP(Hospedaje!F7,Viajeros!$A$3:$G$102,7,FALSE),0)</f>
        <v>0</v>
      </c>
      <c r="E7" s="9">
        <f>IFERROR(VLOOKUP(Hospedaje!G7,Viajeros!$A$3:$G$102,7,FALSE),0)</f>
        <v>0</v>
      </c>
      <c r="F7" s="9">
        <f>IFERROR(VLOOKUP(Hospedaje!H7,Viajeros!$A$3:$G$102,7,FALSE),0)</f>
        <v>0</v>
      </c>
      <c r="G7" s="9">
        <f>IFERROR(VLOOKUP(Hospedaje!I7,Viajeros!$A$3:$G$102,7,FALSE),0)</f>
        <v>0</v>
      </c>
      <c r="H7" s="9">
        <f>IFERROR(VLOOKUP(Hospedaje!J7,Viajeros!$A$3:$G$102,7,FALSE),0)</f>
        <v>0</v>
      </c>
      <c r="I7" s="9">
        <f>IFERROR(VLOOKUP(Hospedaje!K7,Viajeros!$A$3:$G$102,7,FALSE),0)</f>
        <v>0</v>
      </c>
      <c r="J7" s="9">
        <f>IFERROR(VLOOKUP(Hospedaje!L7,Viajeros!$A$3:$G$102,7,FALSE),0)</f>
        <v>0</v>
      </c>
      <c r="K7" s="9">
        <f>IFERROR(VLOOKUP(Hospedaje!M7,Viajeros!$A$3:$G$102,7,FALSE),0)</f>
        <v>0</v>
      </c>
      <c r="L7" s="9">
        <f>IFERROR(VLOOKUP(Hospedaje!N7,Viajeros!$A$3:$G$102,7,FALSE),0)</f>
        <v>0</v>
      </c>
      <c r="M7" s="9">
        <f>IFERROR(VLOOKUP(Hospedaje!O7,Viajeros!$A$3:$G$102,7,FALSE),0)</f>
        <v>0</v>
      </c>
      <c r="N7" s="9">
        <f>IFERROR(VLOOKUP(Hospedaje!P7,Viajeros!$A$3:$G$102,7,FALSE),0)</f>
        <v>0</v>
      </c>
      <c r="O7" s="9">
        <f>IFERROR(VLOOKUP(Hospedaje!Q7,Viajeros!$A$3:$G$102,7,FALSE),0)</f>
        <v>0</v>
      </c>
      <c r="P7" s="9">
        <f>IFERROR(VLOOKUP(Hospedaje!R7,Viajeros!$A$3:$G$102,7,FALSE),0)</f>
        <v>0</v>
      </c>
      <c r="Q7" s="9">
        <f>IFERROR(VLOOKUP(Hospedaje!S7,Viajeros!$A$3:$G$102,7,FALSE),0)</f>
        <v>0</v>
      </c>
    </row>
    <row r="8">
      <c r="A8" s="9" t="str">
        <f>Caravana!A10</f>
        <v>Zoo</v>
      </c>
      <c r="B8" s="9">
        <f t="shared" si="2"/>
        <v>8.5</v>
      </c>
      <c r="C8" s="9">
        <f>IFERROR(VLOOKUP(Hospedaje!E8,Viajeros!$A$3:$G$102,7,FALSE),0)</f>
        <v>6</v>
      </c>
      <c r="D8" s="9">
        <f>IFERROR(VLOOKUP(Hospedaje!F8,Viajeros!$A$3:$G$102,7,FALSE),0)</f>
        <v>2</v>
      </c>
      <c r="E8" s="9">
        <f>IFERROR(VLOOKUP(Hospedaje!G8,Viajeros!$A$3:$G$102,7,FALSE),0)</f>
        <v>0.5</v>
      </c>
      <c r="F8" s="9">
        <f>IFERROR(VLOOKUP(Hospedaje!H8,Viajeros!$A$3:$G$102,7,FALSE),0)</f>
        <v>0</v>
      </c>
      <c r="G8" s="9">
        <f>IFERROR(VLOOKUP(Hospedaje!I8,Viajeros!$A$3:$G$102,7,FALSE),0)</f>
        <v>0</v>
      </c>
      <c r="H8" s="9">
        <f>IFERROR(VLOOKUP(Hospedaje!J8,Viajeros!$A$3:$G$102,7,FALSE),0)</f>
        <v>0</v>
      </c>
      <c r="I8" s="9">
        <f>IFERROR(VLOOKUP(Hospedaje!K8,Viajeros!$A$3:$G$102,7,FALSE),0)</f>
        <v>0</v>
      </c>
      <c r="J8" s="9">
        <f>IFERROR(VLOOKUP(Hospedaje!L8,Viajeros!$A$3:$G$102,7,FALSE),0)</f>
        <v>0</v>
      </c>
      <c r="K8" s="9">
        <f>IFERROR(VLOOKUP(Hospedaje!M8,Viajeros!$A$3:$G$102,7,FALSE),0)</f>
        <v>0</v>
      </c>
      <c r="L8" s="9">
        <f>IFERROR(VLOOKUP(Hospedaje!N8,Viajeros!$A$3:$G$102,7,FALSE),0)</f>
        <v>0</v>
      </c>
      <c r="M8" s="9">
        <f>IFERROR(VLOOKUP(Hospedaje!O8,Viajeros!$A$3:$G$102,7,FALSE),0)</f>
        <v>0</v>
      </c>
      <c r="N8" s="9">
        <f>IFERROR(VLOOKUP(Hospedaje!P8,Viajeros!$A$3:$G$102,7,FALSE),0)</f>
        <v>0</v>
      </c>
      <c r="O8" s="9">
        <f>IFERROR(VLOOKUP(Hospedaje!Q8,Viajeros!$A$3:$G$102,7,FALSE),0)</f>
        <v>0</v>
      </c>
      <c r="P8" s="9">
        <f>IFERROR(VLOOKUP(Hospedaje!R8,Viajeros!$A$3:$G$102,7,FALSE),0)</f>
        <v>0</v>
      </c>
      <c r="Q8" s="9">
        <f>IFERROR(VLOOKUP(Hospedaje!S8,Viajeros!$A$3:$G$102,7,FALSE),0)</f>
        <v>0</v>
      </c>
    </row>
    <row r="9">
      <c r="A9" s="9" t="str">
        <f>Caravana!A11</f>
        <v>Familias Kalsgard</v>
      </c>
      <c r="B9" s="9">
        <f t="shared" si="2"/>
        <v>6.5</v>
      </c>
      <c r="C9" s="9">
        <f>IFERROR(VLOOKUP(Hospedaje!E9,Viajeros!$A$3:$G$102,7,FALSE),0)</f>
        <v>1</v>
      </c>
      <c r="D9" s="9">
        <f>IFERROR(VLOOKUP(Hospedaje!F9,Viajeros!$A$3:$G$102,7,FALSE),0)</f>
        <v>1</v>
      </c>
      <c r="E9" s="9">
        <f>IFERROR(VLOOKUP(Hospedaje!G9,Viajeros!$A$3:$G$102,7,FALSE),0)</f>
        <v>1</v>
      </c>
      <c r="F9" s="9">
        <f>IFERROR(VLOOKUP(Hospedaje!H9,Viajeros!$A$3:$G$102,7,FALSE),0)</f>
        <v>1</v>
      </c>
      <c r="G9" s="9">
        <f>IFERROR(VLOOKUP(Hospedaje!I9,Viajeros!$A$3:$G$102,7,FALSE),0)</f>
        <v>0.5</v>
      </c>
      <c r="H9" s="9">
        <f>IFERROR(VLOOKUP(Hospedaje!J9,Viajeros!$A$3:$G$102,7,FALSE),0)</f>
        <v>1</v>
      </c>
      <c r="I9" s="9">
        <f>IFERROR(VLOOKUP(Hospedaje!K9,Viajeros!$A$3:$G$102,7,FALSE),0)</f>
        <v>0.5</v>
      </c>
      <c r="J9" s="9">
        <f>IFERROR(VLOOKUP(Hospedaje!L9,Viajeros!$A$3:$G$102,7,FALSE),0)</f>
        <v>0.5</v>
      </c>
      <c r="K9" s="9">
        <f>IFERROR(VLOOKUP(Hospedaje!M9,Viajeros!$A$3:$G$102,7,FALSE),0)</f>
        <v>0</v>
      </c>
      <c r="L9" s="9">
        <f>IFERROR(VLOOKUP(Hospedaje!N9,Viajeros!$A$3:$G$102,7,FALSE),0)</f>
        <v>0</v>
      </c>
      <c r="M9" s="9">
        <f>IFERROR(VLOOKUP(Hospedaje!O9,Viajeros!$A$3:$G$102,7,FALSE),0)</f>
        <v>0</v>
      </c>
      <c r="N9" s="9">
        <f>IFERROR(VLOOKUP(Hospedaje!P9,Viajeros!$A$3:$G$102,7,FALSE),0)</f>
        <v>0</v>
      </c>
      <c r="O9" s="9">
        <f>IFERROR(VLOOKUP(Hospedaje!Q9,Viajeros!$A$3:$G$102,7,FALSE),0)</f>
        <v>0</v>
      </c>
      <c r="P9" s="9">
        <f>IFERROR(VLOOKUP(Hospedaje!R9,Viajeros!$A$3:$G$102,7,FALSE),0)</f>
        <v>0</v>
      </c>
      <c r="Q9" s="9">
        <f>IFERROR(VLOOKUP(Hospedaje!S9,Viajeros!$A$3:$G$102,7,FALSE),0)</f>
        <v>0</v>
      </c>
    </row>
    <row r="10">
      <c r="A10" s="9" t="str">
        <f>Caravana!A12</f>
        <v>Mercancías Hierro</v>
      </c>
      <c r="B10" s="9">
        <f t="shared" si="2"/>
        <v>0</v>
      </c>
      <c r="C10" s="9">
        <f>IFERROR(VLOOKUP(Hospedaje!E10,Viajeros!$A$3:$G$102,7,FALSE),0)</f>
        <v>0</v>
      </c>
      <c r="D10" s="9">
        <f>IFERROR(VLOOKUP(Hospedaje!F10,Viajeros!$A$3:$G$102,7,FALSE),0)</f>
        <v>0</v>
      </c>
      <c r="E10" s="9">
        <f>IFERROR(VLOOKUP(Hospedaje!G10,Viajeros!$A$3:$G$102,7,FALSE),0)</f>
        <v>0</v>
      </c>
      <c r="F10" s="9">
        <f>IFERROR(VLOOKUP(Hospedaje!H10,Viajeros!$A$3:$G$102,7,FALSE),0)</f>
        <v>0</v>
      </c>
      <c r="G10" s="9">
        <f>IFERROR(VLOOKUP(Hospedaje!I10,Viajeros!$A$3:$G$102,7,FALSE),0)</f>
        <v>0</v>
      </c>
      <c r="H10" s="9">
        <f>IFERROR(VLOOKUP(Hospedaje!J10,Viajeros!$A$3:$G$102,7,FALSE),0)</f>
        <v>0</v>
      </c>
      <c r="I10" s="9">
        <f>IFERROR(VLOOKUP(Hospedaje!K10,Viajeros!$A$3:$G$102,7,FALSE),0)</f>
        <v>0</v>
      </c>
      <c r="J10" s="9">
        <f>IFERROR(VLOOKUP(Hospedaje!L10,Viajeros!$A$3:$G$102,7,FALSE),0)</f>
        <v>0</v>
      </c>
      <c r="K10" s="9">
        <f>IFERROR(VLOOKUP(Hospedaje!M10,Viajeros!$A$3:$G$102,7,FALSE),0)</f>
        <v>0</v>
      </c>
      <c r="L10" s="9">
        <f>IFERROR(VLOOKUP(Hospedaje!N10,Viajeros!$A$3:$G$102,7,FALSE),0)</f>
        <v>0</v>
      </c>
      <c r="M10" s="9">
        <f>IFERROR(VLOOKUP(Hospedaje!O10,Viajeros!$A$3:$G$102,7,FALSE),0)</f>
        <v>0</v>
      </c>
      <c r="N10" s="9">
        <f>IFERROR(VLOOKUP(Hospedaje!P10,Viajeros!$A$3:$G$102,7,FALSE),0)</f>
        <v>0</v>
      </c>
      <c r="O10" s="9">
        <f>IFERROR(VLOOKUP(Hospedaje!Q10,Viajeros!$A$3:$G$102,7,FALSE),0)</f>
        <v>0</v>
      </c>
      <c r="P10" s="9">
        <f>IFERROR(VLOOKUP(Hospedaje!R10,Viajeros!$A$3:$G$102,7,FALSE),0)</f>
        <v>0</v>
      </c>
      <c r="Q10" s="9">
        <f>IFERROR(VLOOKUP(Hospedaje!S10,Viajeros!$A$3:$G$102,7,FALSE),0)</f>
        <v>0</v>
      </c>
    </row>
    <row r="11">
      <c r="A11" s="9" t="str">
        <f>Caravana!A13</f>
        <v>Mercancías General</v>
      </c>
      <c r="B11" s="9">
        <f t="shared" si="2"/>
        <v>0</v>
      </c>
      <c r="C11" s="9">
        <f>IFERROR(VLOOKUP(Hospedaje!E11,Viajeros!$A$3:$G$102,7,FALSE),0)</f>
        <v>0</v>
      </c>
      <c r="D11" s="9">
        <f>IFERROR(VLOOKUP(Hospedaje!F11,Viajeros!$A$3:$G$102,7,FALSE),0)</f>
        <v>0</v>
      </c>
      <c r="E11" s="9">
        <f>IFERROR(VLOOKUP(Hospedaje!G11,Viajeros!$A$3:$G$102,7,FALSE),0)</f>
        <v>0</v>
      </c>
      <c r="F11" s="9">
        <f>IFERROR(VLOOKUP(Hospedaje!H11,Viajeros!$A$3:$G$102,7,FALSE),0)</f>
        <v>0</v>
      </c>
      <c r="G11" s="9">
        <f>IFERROR(VLOOKUP(Hospedaje!I11,Viajeros!$A$3:$G$102,7,FALSE),0)</f>
        <v>0</v>
      </c>
      <c r="H11" s="9">
        <f>IFERROR(VLOOKUP(Hospedaje!J11,Viajeros!$A$3:$G$102,7,FALSE),0)</f>
        <v>0</v>
      </c>
      <c r="I11" s="9">
        <f>IFERROR(VLOOKUP(Hospedaje!K11,Viajeros!$A$3:$G$102,7,FALSE),0)</f>
        <v>0</v>
      </c>
      <c r="J11" s="9">
        <f>IFERROR(VLOOKUP(Hospedaje!L11,Viajeros!$A$3:$G$102,7,FALSE),0)</f>
        <v>0</v>
      </c>
      <c r="K11" s="9">
        <f>IFERROR(VLOOKUP(Hospedaje!M11,Viajeros!$A$3:$G$102,7,FALSE),0)</f>
        <v>0</v>
      </c>
      <c r="L11" s="9">
        <f>IFERROR(VLOOKUP(Hospedaje!N11,Viajeros!$A$3:$G$102,7,FALSE),0)</f>
        <v>0</v>
      </c>
      <c r="M11" s="9">
        <f>IFERROR(VLOOKUP(Hospedaje!O11,Viajeros!$A$3:$G$102,7,FALSE),0)</f>
        <v>0</v>
      </c>
      <c r="N11" s="9">
        <f>IFERROR(VLOOKUP(Hospedaje!P11,Viajeros!$A$3:$G$102,7,FALSE),0)</f>
        <v>0</v>
      </c>
      <c r="O11" s="9">
        <f>IFERROR(VLOOKUP(Hospedaje!Q11,Viajeros!$A$3:$G$102,7,FALSE),0)</f>
        <v>0</v>
      </c>
      <c r="P11" s="9">
        <f>IFERROR(VLOOKUP(Hospedaje!R11,Viajeros!$A$3:$G$102,7,FALSE),0)</f>
        <v>0</v>
      </c>
      <c r="Q11" s="9">
        <f>IFERROR(VLOOKUP(Hospedaje!S11,Viajeros!$A$3:$G$102,7,FALSE),0)</f>
        <v>0</v>
      </c>
    </row>
    <row r="12">
      <c r="A12" s="9" t="str">
        <f>Caravana!A14</f>
        <v>Mercancías Punta Arena</v>
      </c>
      <c r="B12" s="9">
        <f t="shared" si="2"/>
        <v>0</v>
      </c>
      <c r="C12" s="9">
        <f>IFERROR(VLOOKUP(Hospedaje!E12,Viajeros!$A$3:$G$102,7,FALSE),0)</f>
        <v>0</v>
      </c>
      <c r="D12" s="9">
        <f>IFERROR(VLOOKUP(Hospedaje!F12,Viajeros!$A$3:$G$102,7,FALSE),0)</f>
        <v>0</v>
      </c>
      <c r="E12" s="9">
        <f>IFERROR(VLOOKUP(Hospedaje!G12,Viajeros!$A$3:$G$102,7,FALSE),0)</f>
        <v>0</v>
      </c>
      <c r="F12" s="9">
        <f>IFERROR(VLOOKUP(Hospedaje!H12,Viajeros!$A$3:$G$102,7,FALSE),0)</f>
        <v>0</v>
      </c>
      <c r="G12" s="9">
        <f>IFERROR(VLOOKUP(Hospedaje!I12,Viajeros!$A$3:$G$102,7,FALSE),0)</f>
        <v>0</v>
      </c>
      <c r="H12" s="9">
        <f>IFERROR(VLOOKUP(Hospedaje!J12,Viajeros!$A$3:$G$102,7,FALSE),0)</f>
        <v>0</v>
      </c>
      <c r="I12" s="9">
        <f>IFERROR(VLOOKUP(Hospedaje!K12,Viajeros!$A$3:$G$102,7,FALSE),0)</f>
        <v>0</v>
      </c>
      <c r="J12" s="9">
        <f>IFERROR(VLOOKUP(Hospedaje!L12,Viajeros!$A$3:$G$102,7,FALSE),0)</f>
        <v>0</v>
      </c>
      <c r="K12" s="9">
        <f>IFERROR(VLOOKUP(Hospedaje!M12,Viajeros!$A$3:$G$102,7,FALSE),0)</f>
        <v>0</v>
      </c>
      <c r="L12" s="9">
        <f>IFERROR(VLOOKUP(Hospedaje!N12,Viajeros!$A$3:$G$102,7,FALSE),0)</f>
        <v>0</v>
      </c>
      <c r="M12" s="9">
        <f>IFERROR(VLOOKUP(Hospedaje!O12,Viajeros!$A$3:$G$102,7,FALSE),0)</f>
        <v>0</v>
      </c>
      <c r="N12" s="9">
        <f>IFERROR(VLOOKUP(Hospedaje!P12,Viajeros!$A$3:$G$102,7,FALSE),0)</f>
        <v>0</v>
      </c>
      <c r="O12" s="9">
        <f>IFERROR(VLOOKUP(Hospedaje!Q12,Viajeros!$A$3:$G$102,7,FALSE),0)</f>
        <v>0</v>
      </c>
      <c r="P12" s="9">
        <f>IFERROR(VLOOKUP(Hospedaje!R12,Viajeros!$A$3:$G$102,7,FALSE),0)</f>
        <v>0</v>
      </c>
      <c r="Q12" s="9">
        <f>IFERROR(VLOOKUP(Hospedaje!S12,Viajeros!$A$3:$G$102,7,FALSE),0)</f>
        <v>0</v>
      </c>
    </row>
    <row r="13">
      <c r="A13" s="9" t="str">
        <f>Caravana!A15</f>
        <v>Mercancías Kalsgard</v>
      </c>
      <c r="B13" s="9">
        <f t="shared" si="2"/>
        <v>0</v>
      </c>
      <c r="C13" s="9">
        <f>IFERROR(VLOOKUP(Hospedaje!E13,Viajeros!$A$3:$G$102,7,FALSE),0)</f>
        <v>0</v>
      </c>
      <c r="D13" s="9">
        <f>IFERROR(VLOOKUP(Hospedaje!F13,Viajeros!$A$3:$G$102,7,FALSE),0)</f>
        <v>0</v>
      </c>
      <c r="E13" s="9">
        <f>IFERROR(VLOOKUP(Hospedaje!G13,Viajeros!$A$3:$G$102,7,FALSE),0)</f>
        <v>0</v>
      </c>
      <c r="F13" s="9">
        <f>IFERROR(VLOOKUP(Hospedaje!H13,Viajeros!$A$3:$G$102,7,FALSE),0)</f>
        <v>0</v>
      </c>
      <c r="G13" s="9">
        <f>IFERROR(VLOOKUP(Hospedaje!I13,Viajeros!$A$3:$G$102,7,FALSE),0)</f>
        <v>0</v>
      </c>
      <c r="H13" s="9">
        <f>IFERROR(VLOOKUP(Hospedaje!J13,Viajeros!$A$3:$G$102,7,FALSE),0)</f>
        <v>0</v>
      </c>
      <c r="I13" s="9">
        <f>IFERROR(VLOOKUP(Hospedaje!K13,Viajeros!$A$3:$G$102,7,FALSE),0)</f>
        <v>0</v>
      </c>
      <c r="J13" s="9">
        <f>IFERROR(VLOOKUP(Hospedaje!L13,Viajeros!$A$3:$G$102,7,FALSE),0)</f>
        <v>0</v>
      </c>
      <c r="K13" s="9">
        <f>IFERROR(VLOOKUP(Hospedaje!M13,Viajeros!$A$3:$G$102,7,FALSE),0)</f>
        <v>0</v>
      </c>
      <c r="L13" s="9">
        <f>IFERROR(VLOOKUP(Hospedaje!N13,Viajeros!$A$3:$G$102,7,FALSE),0)</f>
        <v>0</v>
      </c>
      <c r="M13" s="9">
        <f>IFERROR(VLOOKUP(Hospedaje!O13,Viajeros!$A$3:$G$102,7,FALSE),0)</f>
        <v>0</v>
      </c>
      <c r="N13" s="9">
        <f>IFERROR(VLOOKUP(Hospedaje!P13,Viajeros!$A$3:$G$102,7,FALSE),0)</f>
        <v>0</v>
      </c>
      <c r="O13" s="9">
        <f>IFERROR(VLOOKUP(Hospedaje!Q13,Viajeros!$A$3:$G$102,7,FALSE),0)</f>
        <v>0</v>
      </c>
      <c r="P13" s="9">
        <f>IFERROR(VLOOKUP(Hospedaje!R13,Viajeros!$A$3:$G$102,7,FALSE),0)</f>
        <v>0</v>
      </c>
      <c r="Q13" s="9">
        <f>IFERROR(VLOOKUP(Hospedaje!S13,Viajeros!$A$3:$G$102,7,FALSE),0)</f>
        <v>0</v>
      </c>
    </row>
    <row r="14">
      <c r="A14" s="9" t="str">
        <f>Caravana!A16</f>
        <v>Carbón</v>
      </c>
      <c r="B14" s="9">
        <f t="shared" si="2"/>
        <v>0</v>
      </c>
      <c r="C14" s="9">
        <f>IFERROR(VLOOKUP(Hospedaje!E14,Viajeros!$A$3:$G$102,7,FALSE),0)</f>
        <v>0</v>
      </c>
      <c r="D14" s="9">
        <f>IFERROR(VLOOKUP(Hospedaje!F14,Viajeros!$A$3:$G$102,7,FALSE),0)</f>
        <v>0</v>
      </c>
      <c r="E14" s="9">
        <f>IFERROR(VLOOKUP(Hospedaje!G14,Viajeros!$A$3:$G$102,7,FALSE),0)</f>
        <v>0</v>
      </c>
      <c r="F14" s="9">
        <f>IFERROR(VLOOKUP(Hospedaje!H14,Viajeros!$A$3:$G$102,7,FALSE),0)</f>
        <v>0</v>
      </c>
      <c r="G14" s="9">
        <f>IFERROR(VLOOKUP(Hospedaje!I14,Viajeros!$A$3:$G$102,7,FALSE),0)</f>
        <v>0</v>
      </c>
      <c r="H14" s="9">
        <f>IFERROR(VLOOKUP(Hospedaje!J14,Viajeros!$A$3:$G$102,7,FALSE),0)</f>
        <v>0</v>
      </c>
      <c r="I14" s="9">
        <f>IFERROR(VLOOKUP(Hospedaje!K14,Viajeros!$A$3:$G$102,7,FALSE),0)</f>
        <v>0</v>
      </c>
      <c r="J14" s="9">
        <f>IFERROR(VLOOKUP(Hospedaje!L14,Viajeros!$A$3:$G$102,7,FALSE),0)</f>
        <v>0</v>
      </c>
      <c r="K14" s="9">
        <f>IFERROR(VLOOKUP(Hospedaje!M14,Viajeros!$A$3:$G$102,7,FALSE),0)</f>
        <v>0</v>
      </c>
      <c r="L14" s="9">
        <f>IFERROR(VLOOKUP(Hospedaje!N14,Viajeros!$A$3:$G$102,7,FALSE),0)</f>
        <v>0</v>
      </c>
      <c r="M14" s="9">
        <f>IFERROR(VLOOKUP(Hospedaje!O14,Viajeros!$A$3:$G$102,7,FALSE),0)</f>
        <v>0</v>
      </c>
      <c r="N14" s="9">
        <f>IFERROR(VLOOKUP(Hospedaje!P14,Viajeros!$A$3:$G$102,7,FALSE),0)</f>
        <v>0</v>
      </c>
      <c r="O14" s="9">
        <f>IFERROR(VLOOKUP(Hospedaje!Q14,Viajeros!$A$3:$G$102,7,FALSE),0)</f>
        <v>0</v>
      </c>
      <c r="P14" s="9">
        <f>IFERROR(VLOOKUP(Hospedaje!R14,Viajeros!$A$3:$G$102,7,FALSE),0)</f>
        <v>0</v>
      </c>
      <c r="Q14" s="9">
        <f>IFERROR(VLOOKUP(Hospedaje!S14,Viajeros!$A$3:$G$102,7,FALSE),0)</f>
        <v>0</v>
      </c>
    </row>
    <row r="15">
      <c r="A15" s="9" t="str">
        <f>Caravana!A17</f>
        <v>Queso</v>
      </c>
      <c r="B15" s="9">
        <f t="shared" si="2"/>
        <v>1</v>
      </c>
      <c r="C15" s="9">
        <f>IFERROR(VLOOKUP(Hospedaje!E15,Viajeros!$A$3:$G$102,7,FALSE),0)</f>
        <v>1</v>
      </c>
      <c r="D15" s="9">
        <f>IFERROR(VLOOKUP(Hospedaje!F15,Viajeros!$A$3:$G$102,7,FALSE),0)</f>
        <v>0</v>
      </c>
      <c r="E15" s="9">
        <f>IFERROR(VLOOKUP(Hospedaje!G15,Viajeros!$A$3:$G$102,7,FALSE),0)</f>
        <v>0</v>
      </c>
      <c r="F15" s="9">
        <f>IFERROR(VLOOKUP(Hospedaje!H15,Viajeros!$A$3:$G$102,7,FALSE),0)</f>
        <v>0</v>
      </c>
      <c r="G15" s="9">
        <f>IFERROR(VLOOKUP(Hospedaje!I15,Viajeros!$A$3:$G$102,7,FALSE),0)</f>
        <v>0</v>
      </c>
      <c r="H15" s="9">
        <f>IFERROR(VLOOKUP(Hospedaje!J15,Viajeros!$A$3:$G$102,7,FALSE),0)</f>
        <v>0</v>
      </c>
      <c r="I15" s="9">
        <f>IFERROR(VLOOKUP(Hospedaje!K15,Viajeros!$A$3:$G$102,7,FALSE),0)</f>
        <v>0</v>
      </c>
      <c r="J15" s="9">
        <f>IFERROR(VLOOKUP(Hospedaje!L15,Viajeros!$A$3:$G$102,7,FALSE),0)</f>
        <v>0</v>
      </c>
      <c r="K15" s="9">
        <f>IFERROR(VLOOKUP(Hospedaje!M15,Viajeros!$A$3:$G$102,7,FALSE),0)</f>
        <v>0</v>
      </c>
      <c r="L15" s="9">
        <f>IFERROR(VLOOKUP(Hospedaje!N15,Viajeros!$A$3:$G$102,7,FALSE),0)</f>
        <v>0</v>
      </c>
      <c r="M15" s="9">
        <f>IFERROR(VLOOKUP(Hospedaje!O15,Viajeros!$A$3:$G$102,7,FALSE),0)</f>
        <v>0</v>
      </c>
      <c r="N15" s="9">
        <f>IFERROR(VLOOKUP(Hospedaje!P15,Viajeros!$A$3:$G$102,7,FALSE),0)</f>
        <v>0</v>
      </c>
      <c r="O15" s="9">
        <f>IFERROR(VLOOKUP(Hospedaje!Q15,Viajeros!$A$3:$G$102,7,FALSE),0)</f>
        <v>0</v>
      </c>
      <c r="P15" s="9">
        <f>IFERROR(VLOOKUP(Hospedaje!R15,Viajeros!$A$3:$G$102,7,FALSE),0)</f>
        <v>0</v>
      </c>
      <c r="Q15" s="9">
        <f>IFERROR(VLOOKUP(Hospedaje!S15,Viajeros!$A$3:$G$102,7,FALSE),0)</f>
        <v>0</v>
      </c>
    </row>
    <row r="16">
      <c r="A16" s="9" t="str">
        <f>Caravana!A18</f>
        <v>Suministros 1</v>
      </c>
      <c r="B16" s="9">
        <f t="shared" si="2"/>
        <v>0</v>
      </c>
      <c r="C16" s="9">
        <f>IFERROR(VLOOKUP(Hospedaje!E16,Viajeros!$A$3:$G$102,7,FALSE),0)</f>
        <v>0</v>
      </c>
      <c r="D16" s="9">
        <f>IFERROR(VLOOKUP(Hospedaje!F16,Viajeros!$A$3:$G$102,7,FALSE),0)</f>
        <v>0</v>
      </c>
      <c r="E16" s="9">
        <f>IFERROR(VLOOKUP(Hospedaje!G16,Viajeros!$A$3:$G$102,7,FALSE),0)</f>
        <v>0</v>
      </c>
      <c r="F16" s="9">
        <f>IFERROR(VLOOKUP(Hospedaje!H16,Viajeros!$A$3:$G$102,7,FALSE),0)</f>
        <v>0</v>
      </c>
      <c r="G16" s="9">
        <f>IFERROR(VLOOKUP(Hospedaje!I16,Viajeros!$A$3:$G$102,7,FALSE),0)</f>
        <v>0</v>
      </c>
      <c r="H16" s="9">
        <f>IFERROR(VLOOKUP(Hospedaje!J16,Viajeros!$A$3:$G$102,7,FALSE),0)</f>
        <v>0</v>
      </c>
      <c r="I16" s="9">
        <f>IFERROR(VLOOKUP(Hospedaje!K16,Viajeros!$A$3:$G$102,7,FALSE),0)</f>
        <v>0</v>
      </c>
      <c r="J16" s="9">
        <f>IFERROR(VLOOKUP(Hospedaje!L16,Viajeros!$A$3:$G$102,7,FALSE),0)</f>
        <v>0</v>
      </c>
      <c r="K16" s="9">
        <f>IFERROR(VLOOKUP(Hospedaje!M16,Viajeros!$A$3:$G$102,7,FALSE),0)</f>
        <v>0</v>
      </c>
      <c r="L16" s="9">
        <f>IFERROR(VLOOKUP(Hospedaje!N16,Viajeros!$A$3:$G$102,7,FALSE),0)</f>
        <v>0</v>
      </c>
      <c r="M16" s="9">
        <f>IFERROR(VLOOKUP(Hospedaje!O16,Viajeros!$A$3:$G$102,7,FALSE),0)</f>
        <v>0</v>
      </c>
      <c r="N16" s="9">
        <f>IFERROR(VLOOKUP(Hospedaje!P16,Viajeros!$A$3:$G$102,7,FALSE),0)</f>
        <v>0</v>
      </c>
      <c r="O16" s="9">
        <f>IFERROR(VLOOKUP(Hospedaje!Q16,Viajeros!$A$3:$G$102,7,FALSE),0)</f>
        <v>0</v>
      </c>
      <c r="P16" s="9">
        <f>IFERROR(VLOOKUP(Hospedaje!R16,Viajeros!$A$3:$G$102,7,FALSE),0)</f>
        <v>0</v>
      </c>
      <c r="Q16" s="9">
        <f>IFERROR(VLOOKUP(Hospedaje!S16,Viajeros!$A$3:$G$102,7,FALSE),0)</f>
        <v>0</v>
      </c>
    </row>
    <row r="17">
      <c r="A17" s="9" t="str">
        <f>Caravana!A19</f>
        <v>Suministros 2</v>
      </c>
      <c r="B17" s="9">
        <f t="shared" si="2"/>
        <v>0</v>
      </c>
      <c r="C17" s="9">
        <f>IFERROR(VLOOKUP(Hospedaje!E17,Viajeros!$A$3:$G$102,7,FALSE),0)</f>
        <v>0</v>
      </c>
      <c r="D17" s="9">
        <f>IFERROR(VLOOKUP(Hospedaje!F17,Viajeros!$A$3:$G$102,7,FALSE),0)</f>
        <v>0</v>
      </c>
      <c r="E17" s="9">
        <f>IFERROR(VLOOKUP(Hospedaje!G17,Viajeros!$A$3:$G$102,7,FALSE),0)</f>
        <v>0</v>
      </c>
      <c r="F17" s="9">
        <f>IFERROR(VLOOKUP(Hospedaje!H17,Viajeros!$A$3:$G$102,7,FALSE),0)</f>
        <v>0</v>
      </c>
      <c r="G17" s="9">
        <f>IFERROR(VLOOKUP(Hospedaje!I17,Viajeros!$A$3:$G$102,7,FALSE),0)</f>
        <v>0</v>
      </c>
      <c r="H17" s="9">
        <f>IFERROR(VLOOKUP(Hospedaje!J17,Viajeros!$A$3:$G$102,7,FALSE),0)</f>
        <v>0</v>
      </c>
      <c r="I17" s="9">
        <f>IFERROR(VLOOKUP(Hospedaje!K17,Viajeros!$A$3:$G$102,7,FALSE),0)</f>
        <v>0</v>
      </c>
      <c r="J17" s="9">
        <f>IFERROR(VLOOKUP(Hospedaje!L17,Viajeros!$A$3:$G$102,7,FALSE),0)</f>
        <v>0</v>
      </c>
      <c r="K17" s="9">
        <f>IFERROR(VLOOKUP(Hospedaje!M17,Viajeros!$A$3:$G$102,7,FALSE),0)</f>
        <v>0</v>
      </c>
      <c r="L17" s="9">
        <f>IFERROR(VLOOKUP(Hospedaje!N17,Viajeros!$A$3:$G$102,7,FALSE),0)</f>
        <v>0</v>
      </c>
      <c r="M17" s="9">
        <f>IFERROR(VLOOKUP(Hospedaje!O17,Viajeros!$A$3:$G$102,7,FALSE),0)</f>
        <v>0</v>
      </c>
      <c r="N17" s="9">
        <f>IFERROR(VLOOKUP(Hospedaje!P17,Viajeros!$A$3:$G$102,7,FALSE),0)</f>
        <v>0</v>
      </c>
      <c r="O17" s="9">
        <f>IFERROR(VLOOKUP(Hospedaje!Q17,Viajeros!$A$3:$G$102,7,FALSE),0)</f>
        <v>0</v>
      </c>
      <c r="P17" s="9">
        <f>IFERROR(VLOOKUP(Hospedaje!R17,Viajeros!$A$3:$G$102,7,FALSE),0)</f>
        <v>0</v>
      </c>
      <c r="Q17" s="9">
        <f>IFERROR(VLOOKUP(Hospedaje!S17,Viajeros!$A$3:$G$102,7,FALSE),0)</f>
        <v>0</v>
      </c>
    </row>
    <row r="18">
      <c r="A18" s="9" t="str">
        <f>Caravana!A20</f>
        <v>Koya</v>
      </c>
      <c r="B18" s="9">
        <f t="shared" si="2"/>
        <v>1</v>
      </c>
      <c r="C18" s="9">
        <f>IFERROR(VLOOKUP(Hospedaje!E18,Viajeros!$A$3:$G$102,7,FALSE),0)</f>
        <v>1</v>
      </c>
      <c r="D18" s="9">
        <f>IFERROR(VLOOKUP(Hospedaje!F18,Viajeros!$A$3:$G$102,7,FALSE),0)</f>
        <v>0</v>
      </c>
      <c r="E18" s="9">
        <f>IFERROR(VLOOKUP(Hospedaje!G18,Viajeros!$A$3:$G$102,7,FALSE),0)</f>
        <v>0</v>
      </c>
      <c r="F18" s="9">
        <f>IFERROR(VLOOKUP(Hospedaje!H18,Viajeros!$A$3:$G$102,7,FALSE),0)</f>
        <v>0</v>
      </c>
      <c r="G18" s="9">
        <f>IFERROR(VLOOKUP(Hospedaje!I18,Viajeros!$A$3:$G$102,7,FALSE),0)</f>
        <v>0</v>
      </c>
      <c r="H18" s="9">
        <f>IFERROR(VLOOKUP(Hospedaje!J18,Viajeros!$A$3:$G$102,7,FALSE),0)</f>
        <v>0</v>
      </c>
      <c r="I18" s="9">
        <f>IFERROR(VLOOKUP(Hospedaje!K18,Viajeros!$A$3:$G$102,7,FALSE),0)</f>
        <v>0</v>
      </c>
      <c r="J18" s="9">
        <f>IFERROR(VLOOKUP(Hospedaje!L18,Viajeros!$A$3:$G$102,7,FALSE),0)</f>
        <v>0</v>
      </c>
      <c r="K18" s="9">
        <f>IFERROR(VLOOKUP(Hospedaje!M18,Viajeros!$A$3:$G$102,7,FALSE),0)</f>
        <v>0</v>
      </c>
      <c r="L18" s="9">
        <f>IFERROR(VLOOKUP(Hospedaje!N18,Viajeros!$A$3:$G$102,7,FALSE),0)</f>
        <v>0</v>
      </c>
      <c r="M18" s="9">
        <f>IFERROR(VLOOKUP(Hospedaje!O18,Viajeros!$A$3:$G$102,7,FALSE),0)</f>
        <v>0</v>
      </c>
      <c r="N18" s="9">
        <f>IFERROR(VLOOKUP(Hospedaje!P18,Viajeros!$A$3:$G$102,7,FALSE),0)</f>
        <v>0</v>
      </c>
      <c r="O18" s="9">
        <f>IFERROR(VLOOKUP(Hospedaje!Q18,Viajeros!$A$3:$G$102,7,FALSE),0)</f>
        <v>0</v>
      </c>
      <c r="P18" s="9">
        <f>IFERROR(VLOOKUP(Hospedaje!R18,Viajeros!$A$3:$G$102,7,FALSE),0)</f>
        <v>0</v>
      </c>
      <c r="Q18" s="9">
        <f>IFERROR(VLOOKUP(Hospedaje!S18,Viajeros!$A$3:$G$102,7,FALSE),0)</f>
        <v>0</v>
      </c>
    </row>
    <row r="19">
      <c r="A19" s="9" t="str">
        <f>Caravana!A21</f>
        <v>Taller</v>
      </c>
      <c r="B19" s="9">
        <f t="shared" si="2"/>
        <v>0</v>
      </c>
      <c r="C19" s="9">
        <f>IFERROR(VLOOKUP(Hospedaje!E19,Viajeros!$A$3:$G$102,7,FALSE),0)</f>
        <v>0</v>
      </c>
      <c r="D19" s="9">
        <f>IFERROR(VLOOKUP(Hospedaje!F19,Viajeros!$A$3:$G$102,7,FALSE),0)</f>
        <v>0</v>
      </c>
      <c r="E19" s="9">
        <f>IFERROR(VLOOKUP(Hospedaje!G19,Viajeros!$A$3:$G$102,7,FALSE),0)</f>
        <v>0</v>
      </c>
      <c r="F19" s="9">
        <f>IFERROR(VLOOKUP(Hospedaje!H19,Viajeros!$A$3:$G$102,7,FALSE),0)</f>
        <v>0</v>
      </c>
      <c r="G19" s="9">
        <f>IFERROR(VLOOKUP(Hospedaje!I19,Viajeros!$A$3:$G$102,7,FALSE),0)</f>
        <v>0</v>
      </c>
      <c r="H19" s="9">
        <f>IFERROR(VLOOKUP(Hospedaje!J19,Viajeros!$A$3:$G$102,7,FALSE),0)</f>
        <v>0</v>
      </c>
      <c r="I19" s="9">
        <f>IFERROR(VLOOKUP(Hospedaje!K19,Viajeros!$A$3:$G$102,7,FALSE),0)</f>
        <v>0</v>
      </c>
      <c r="J19" s="9">
        <f>IFERROR(VLOOKUP(Hospedaje!L19,Viajeros!$A$3:$G$102,7,FALSE),0)</f>
        <v>0</v>
      </c>
      <c r="K19" s="9">
        <f>IFERROR(VLOOKUP(Hospedaje!M19,Viajeros!$A$3:$G$102,7,FALSE),0)</f>
        <v>0</v>
      </c>
      <c r="L19" s="9">
        <f>IFERROR(VLOOKUP(Hospedaje!N19,Viajeros!$A$3:$G$102,7,FALSE),0)</f>
        <v>0</v>
      </c>
      <c r="M19" s="9">
        <f>IFERROR(VLOOKUP(Hospedaje!O19,Viajeros!$A$3:$G$102,7,FALSE),0)</f>
        <v>0</v>
      </c>
      <c r="N19" s="9">
        <f>IFERROR(VLOOKUP(Hospedaje!P19,Viajeros!$A$3:$G$102,7,FALSE),0)</f>
        <v>0</v>
      </c>
      <c r="O19" s="9">
        <f>IFERROR(VLOOKUP(Hospedaje!Q19,Viajeros!$A$3:$G$102,7,FALSE),0)</f>
        <v>0</v>
      </c>
      <c r="P19" s="9">
        <f>IFERROR(VLOOKUP(Hospedaje!R19,Viajeros!$A$3:$G$102,7,FALSE),0)</f>
        <v>0</v>
      </c>
      <c r="Q19" s="9">
        <f>IFERROR(VLOOKUP(Hospedaje!S19,Viajeros!$A$3:$G$102,7,FALSE),0)</f>
        <v>0</v>
      </c>
    </row>
    <row r="20">
      <c r="A20" s="9" t="str">
        <f>Caravana!A22</f>
        <v>Escuela</v>
      </c>
      <c r="B20" s="9">
        <f t="shared" si="2"/>
        <v>1</v>
      </c>
      <c r="C20" s="9">
        <f>IFERROR(VLOOKUP(Hospedaje!E20,Viajeros!$A$3:$G$102,7,FALSE),0)</f>
        <v>1</v>
      </c>
      <c r="D20" s="9">
        <f>IFERROR(VLOOKUP(Hospedaje!F20,Viajeros!$A$3:$G$102,7,FALSE),0)</f>
        <v>0</v>
      </c>
      <c r="E20" s="9">
        <f>IFERROR(VLOOKUP(Hospedaje!G20,Viajeros!$A$3:$G$102,7,FALSE),0)</f>
        <v>0</v>
      </c>
      <c r="F20" s="9">
        <f>IFERROR(VLOOKUP(Hospedaje!H20,Viajeros!$A$3:$G$102,7,FALSE),0)</f>
        <v>0</v>
      </c>
      <c r="G20" s="9">
        <f>IFERROR(VLOOKUP(Hospedaje!I20,Viajeros!$A$3:$G$102,7,FALSE),0)</f>
        <v>0</v>
      </c>
      <c r="H20" s="9">
        <f>IFERROR(VLOOKUP(Hospedaje!J20,Viajeros!$A$3:$G$102,7,FALSE),0)</f>
        <v>0</v>
      </c>
      <c r="I20" s="9">
        <f>IFERROR(VLOOKUP(Hospedaje!K20,Viajeros!$A$3:$G$102,7,FALSE),0)</f>
        <v>0</v>
      </c>
      <c r="J20" s="9">
        <f>IFERROR(VLOOKUP(Hospedaje!L20,Viajeros!$A$3:$G$102,7,FALSE),0)</f>
        <v>0</v>
      </c>
      <c r="K20" s="9">
        <f>IFERROR(VLOOKUP(Hospedaje!M20,Viajeros!$A$3:$G$102,7,FALSE),0)</f>
        <v>0</v>
      </c>
      <c r="L20" s="9">
        <f>IFERROR(VLOOKUP(Hospedaje!N20,Viajeros!$A$3:$G$102,7,FALSE),0)</f>
        <v>0</v>
      </c>
      <c r="M20" s="9">
        <f>IFERROR(VLOOKUP(Hospedaje!O20,Viajeros!$A$3:$G$102,7,FALSE),0)</f>
        <v>0</v>
      </c>
      <c r="N20" s="9">
        <f>IFERROR(VLOOKUP(Hospedaje!P20,Viajeros!$A$3:$G$102,7,FALSE),0)</f>
        <v>0</v>
      </c>
      <c r="O20" s="9">
        <f>IFERROR(VLOOKUP(Hospedaje!Q20,Viajeros!$A$3:$G$102,7,FALSE),0)</f>
        <v>0</v>
      </c>
      <c r="P20" s="9">
        <f>IFERROR(VLOOKUP(Hospedaje!R20,Viajeros!$A$3:$G$102,7,FALSE),0)</f>
        <v>0</v>
      </c>
      <c r="Q20" s="9">
        <f>IFERROR(VLOOKUP(Hospedaje!S20,Viajeros!$A$3:$G$102,7,FALSE),0)</f>
        <v>0</v>
      </c>
    </row>
    <row r="21">
      <c r="A21" s="9" t="str">
        <f>Caravana!A23</f>
        <v>Huerto Hagorsson</v>
      </c>
      <c r="B21" s="9">
        <f t="shared" si="2"/>
        <v>0</v>
      </c>
      <c r="C21" s="9">
        <f>IFERROR(VLOOKUP(Hospedaje!E21,Viajeros!$A$3:$G$102,7,FALSE),0)</f>
        <v>0</v>
      </c>
      <c r="D21" s="9">
        <f>IFERROR(VLOOKUP(Hospedaje!F21,Viajeros!$A$3:$G$102,7,FALSE),0)</f>
        <v>0</v>
      </c>
      <c r="E21" s="9">
        <f>IFERROR(VLOOKUP(Hospedaje!G21,Viajeros!$A$3:$G$102,7,FALSE),0)</f>
        <v>0</v>
      </c>
      <c r="F21" s="9">
        <f>IFERROR(VLOOKUP(Hospedaje!H21,Viajeros!$A$3:$G$102,7,FALSE),0)</f>
        <v>0</v>
      </c>
      <c r="G21" s="9">
        <f>IFERROR(VLOOKUP(Hospedaje!I21,Viajeros!$A$3:$G$102,7,FALSE),0)</f>
        <v>0</v>
      </c>
      <c r="H21" s="9">
        <f>IFERROR(VLOOKUP(Hospedaje!J21,Viajeros!$A$3:$G$102,7,FALSE),0)</f>
        <v>0</v>
      </c>
      <c r="I21" s="9">
        <f>IFERROR(VLOOKUP(Hospedaje!K21,Viajeros!$A$3:$G$102,7,FALSE),0)</f>
        <v>0</v>
      </c>
      <c r="J21" s="9">
        <f>IFERROR(VLOOKUP(Hospedaje!L21,Viajeros!$A$3:$G$102,7,FALSE),0)</f>
        <v>0</v>
      </c>
      <c r="K21" s="9">
        <f>IFERROR(VLOOKUP(Hospedaje!M21,Viajeros!$A$3:$G$102,7,FALSE),0)</f>
        <v>0</v>
      </c>
      <c r="L21" s="9">
        <f>IFERROR(VLOOKUP(Hospedaje!N21,Viajeros!$A$3:$G$102,7,FALSE),0)</f>
        <v>0</v>
      </c>
      <c r="M21" s="9">
        <f>IFERROR(VLOOKUP(Hospedaje!O21,Viajeros!$A$3:$G$102,7,FALSE),0)</f>
        <v>0</v>
      </c>
      <c r="N21" s="9">
        <f>IFERROR(VLOOKUP(Hospedaje!P21,Viajeros!$A$3:$G$102,7,FALSE),0)</f>
        <v>0</v>
      </c>
      <c r="O21" s="9">
        <f>IFERROR(VLOOKUP(Hospedaje!Q21,Viajeros!$A$3:$G$102,7,FALSE),0)</f>
        <v>0</v>
      </c>
      <c r="P21" s="9">
        <f>IFERROR(VLOOKUP(Hospedaje!R21,Viajeros!$A$3:$G$102,7,FALSE),0)</f>
        <v>0</v>
      </c>
      <c r="Q21" s="9">
        <f>IFERROR(VLOOKUP(Hospedaje!S21,Viajeros!$A$3:$G$102,7,FALSE),0)</f>
        <v>0</v>
      </c>
    </row>
    <row r="22">
      <c r="A22" s="9" t="str">
        <f>Caravana!A24</f>
        <v>Huerto 1</v>
      </c>
      <c r="B22" s="9">
        <f t="shared" si="2"/>
        <v>2</v>
      </c>
      <c r="C22" s="9">
        <f>IFERROR(VLOOKUP(Hospedaje!E22,Viajeros!$A$3:$G$102,7,FALSE),0)</f>
        <v>2</v>
      </c>
      <c r="D22" s="9">
        <f>IFERROR(VLOOKUP(Hospedaje!F22,Viajeros!$A$3:$G$102,7,FALSE),0)</f>
        <v>0</v>
      </c>
      <c r="E22" s="9">
        <f>IFERROR(VLOOKUP(Hospedaje!G22,Viajeros!$A$3:$G$102,7,FALSE),0)</f>
        <v>0</v>
      </c>
      <c r="F22" s="9">
        <f>IFERROR(VLOOKUP(Hospedaje!H22,Viajeros!$A$3:$G$102,7,FALSE),0)</f>
        <v>0</v>
      </c>
      <c r="G22" s="9">
        <f>IFERROR(VLOOKUP(Hospedaje!I22,Viajeros!$A$3:$G$102,7,FALSE),0)</f>
        <v>0</v>
      </c>
      <c r="H22" s="9">
        <f>IFERROR(VLOOKUP(Hospedaje!J22,Viajeros!$A$3:$G$102,7,FALSE),0)</f>
        <v>0</v>
      </c>
      <c r="I22" s="9">
        <f>IFERROR(VLOOKUP(Hospedaje!K22,Viajeros!$A$3:$G$102,7,FALSE),0)</f>
        <v>0</v>
      </c>
      <c r="J22" s="9">
        <f>IFERROR(VLOOKUP(Hospedaje!L22,Viajeros!$A$3:$G$102,7,FALSE),0)</f>
        <v>0</v>
      </c>
      <c r="K22" s="9">
        <f>IFERROR(VLOOKUP(Hospedaje!M22,Viajeros!$A$3:$G$102,7,FALSE),0)</f>
        <v>0</v>
      </c>
      <c r="L22" s="9">
        <f>IFERROR(VLOOKUP(Hospedaje!N22,Viajeros!$A$3:$G$102,7,FALSE),0)</f>
        <v>0</v>
      </c>
      <c r="M22" s="9">
        <f>IFERROR(VLOOKUP(Hospedaje!O22,Viajeros!$A$3:$G$102,7,FALSE),0)</f>
        <v>0</v>
      </c>
      <c r="N22" s="9">
        <f>IFERROR(VLOOKUP(Hospedaje!P22,Viajeros!$A$3:$G$102,7,FALSE),0)</f>
        <v>0</v>
      </c>
      <c r="O22" s="9">
        <f>IFERROR(VLOOKUP(Hospedaje!Q22,Viajeros!$A$3:$G$102,7,FALSE),0)</f>
        <v>0</v>
      </c>
      <c r="P22" s="9">
        <f>IFERROR(VLOOKUP(Hospedaje!R22,Viajeros!$A$3:$G$102,7,FALSE),0)</f>
        <v>0</v>
      </c>
      <c r="Q22" s="9">
        <f>IFERROR(VLOOKUP(Hospedaje!S22,Viajeros!$A$3:$G$102,7,FALSE),0)</f>
        <v>0</v>
      </c>
    </row>
    <row r="23">
      <c r="A23" s="9" t="str">
        <f>Caravana!A25</f>
        <v>Huerto 2</v>
      </c>
      <c r="B23" s="9">
        <f t="shared" si="2"/>
        <v>0</v>
      </c>
      <c r="C23" s="9">
        <f>IFERROR(VLOOKUP(Hospedaje!E23,Viajeros!$A$3:$G$102,7,FALSE),0)</f>
        <v>0</v>
      </c>
      <c r="D23" s="9">
        <f>IFERROR(VLOOKUP(Hospedaje!F23,Viajeros!$A$3:$G$102,7,FALSE),0)</f>
        <v>0</v>
      </c>
      <c r="E23" s="9">
        <f>IFERROR(VLOOKUP(Hospedaje!G23,Viajeros!$A$3:$G$102,7,FALSE),0)</f>
        <v>0</v>
      </c>
      <c r="F23" s="9">
        <f>IFERROR(VLOOKUP(Hospedaje!H23,Viajeros!$A$3:$G$102,7,FALSE),0)</f>
        <v>0</v>
      </c>
      <c r="G23" s="9">
        <f>IFERROR(VLOOKUP(Hospedaje!I23,Viajeros!$A$3:$G$102,7,FALSE),0)</f>
        <v>0</v>
      </c>
      <c r="H23" s="9">
        <f>IFERROR(VLOOKUP(Hospedaje!J23,Viajeros!$A$3:$G$102,7,FALSE),0)</f>
        <v>0</v>
      </c>
      <c r="I23" s="9">
        <f>IFERROR(VLOOKUP(Hospedaje!K23,Viajeros!$A$3:$G$102,7,FALSE),0)</f>
        <v>0</v>
      </c>
      <c r="J23" s="9">
        <f>IFERROR(VLOOKUP(Hospedaje!L23,Viajeros!$A$3:$G$102,7,FALSE),0)</f>
        <v>0</v>
      </c>
      <c r="K23" s="9">
        <f>IFERROR(VLOOKUP(Hospedaje!M23,Viajeros!$A$3:$G$102,7,FALSE),0)</f>
        <v>0</v>
      </c>
      <c r="L23" s="9">
        <f>IFERROR(VLOOKUP(Hospedaje!N23,Viajeros!$A$3:$G$102,7,FALSE),0)</f>
        <v>0</v>
      </c>
      <c r="M23" s="9">
        <f>IFERROR(VLOOKUP(Hospedaje!O23,Viajeros!$A$3:$G$102,7,FALSE),0)</f>
        <v>0</v>
      </c>
      <c r="N23" s="9">
        <f>IFERROR(VLOOKUP(Hospedaje!P23,Viajeros!$A$3:$G$102,7,FALSE),0)</f>
        <v>0</v>
      </c>
      <c r="O23" s="9">
        <f>IFERROR(VLOOKUP(Hospedaje!Q23,Viajeros!$A$3:$G$102,7,FALSE),0)</f>
        <v>0</v>
      </c>
      <c r="P23" s="9">
        <f>IFERROR(VLOOKUP(Hospedaje!R23,Viajeros!$A$3:$G$102,7,FALSE),0)</f>
        <v>0</v>
      </c>
      <c r="Q23" s="9">
        <f>IFERROR(VLOOKUP(Hospedaje!S23,Viajeros!$A$3:$G$102,7,FALSE),0)</f>
        <v>0</v>
      </c>
    </row>
    <row r="24">
      <c r="A24" s="9" t="str">
        <f>Caravana!A26</f>
        <v>Hospital</v>
      </c>
      <c r="B24" s="9">
        <f t="shared" si="2"/>
        <v>0</v>
      </c>
      <c r="C24" s="9">
        <f>IFERROR(VLOOKUP(Hospedaje!E24,Viajeros!$A$3:$G$102,7,FALSE),0)</f>
        <v>0</v>
      </c>
      <c r="D24" s="9">
        <f>IFERROR(VLOOKUP(Hospedaje!F24,Viajeros!$A$3:$G$102,7,FALSE),0)</f>
        <v>0</v>
      </c>
      <c r="E24" s="9">
        <f>IFERROR(VLOOKUP(Hospedaje!G24,Viajeros!$A$3:$G$102,7,FALSE),0)</f>
        <v>0</v>
      </c>
      <c r="F24" s="9">
        <f>IFERROR(VLOOKUP(Hospedaje!H24,Viajeros!$A$3:$G$102,7,FALSE),0)</f>
        <v>0</v>
      </c>
      <c r="G24" s="9">
        <f>IFERROR(VLOOKUP(Hospedaje!I24,Viajeros!$A$3:$G$102,7,FALSE),0)</f>
        <v>0</v>
      </c>
      <c r="H24" s="9">
        <f>IFERROR(VLOOKUP(Hospedaje!J24,Viajeros!$A$3:$G$102,7,FALSE),0)</f>
        <v>0</v>
      </c>
      <c r="I24" s="9">
        <f>IFERROR(VLOOKUP(Hospedaje!K24,Viajeros!$A$3:$G$102,7,FALSE),0)</f>
        <v>0</v>
      </c>
      <c r="J24" s="9">
        <f>IFERROR(VLOOKUP(Hospedaje!L24,Viajeros!$A$3:$G$102,7,FALSE),0)</f>
        <v>0</v>
      </c>
      <c r="K24" s="9">
        <f>IFERROR(VLOOKUP(Hospedaje!M24,Viajeros!$A$3:$G$102,7,FALSE),0)</f>
        <v>0</v>
      </c>
      <c r="L24" s="9">
        <f>IFERROR(VLOOKUP(Hospedaje!N24,Viajeros!$A$3:$G$102,7,FALSE),0)</f>
        <v>0</v>
      </c>
      <c r="M24" s="9">
        <f>IFERROR(VLOOKUP(Hospedaje!O24,Viajeros!$A$3:$G$102,7,FALSE),0)</f>
        <v>0</v>
      </c>
      <c r="N24" s="9">
        <f>IFERROR(VLOOKUP(Hospedaje!P24,Viajeros!$A$3:$G$102,7,FALSE),0)</f>
        <v>0</v>
      </c>
      <c r="O24" s="9">
        <f>IFERROR(VLOOKUP(Hospedaje!Q24,Viajeros!$A$3:$G$102,7,FALSE),0)</f>
        <v>0</v>
      </c>
      <c r="P24" s="9">
        <f>IFERROR(VLOOKUP(Hospedaje!R24,Viajeros!$A$3:$G$102,7,FALSE),0)</f>
        <v>0</v>
      </c>
      <c r="Q24" s="9">
        <f>IFERROR(VLOOKUP(Hospedaje!S24,Viajeros!$A$3:$G$102,7,FALSE),0)</f>
        <v>0</v>
      </c>
    </row>
    <row r="25">
      <c r="A25" s="9" t="str">
        <f>Caravana!A27</f>
        <v>Bar sin límites</v>
      </c>
      <c r="B25" s="9">
        <f t="shared" si="2"/>
        <v>2.5</v>
      </c>
      <c r="C25" s="9">
        <f>IFERROR(VLOOKUP(Hospedaje!E25,Viajeros!$A$3:$G$102,7,FALSE),0)</f>
        <v>1</v>
      </c>
      <c r="D25" s="9">
        <f>IFERROR(VLOOKUP(Hospedaje!F25,Viajeros!$A$3:$G$102,7,FALSE),0)</f>
        <v>1</v>
      </c>
      <c r="E25" s="9">
        <f>IFERROR(VLOOKUP(Hospedaje!G25,Viajeros!$A$3:$G$102,7,FALSE),0)</f>
        <v>0.5</v>
      </c>
      <c r="F25" s="9">
        <f>IFERROR(VLOOKUP(Hospedaje!H25,Viajeros!$A$3:$G$102,7,FALSE),0)</f>
        <v>0</v>
      </c>
      <c r="G25" s="9">
        <f>IFERROR(VLOOKUP(Hospedaje!I25,Viajeros!$A$3:$G$102,7,FALSE),0)</f>
        <v>0</v>
      </c>
      <c r="H25" s="9">
        <f>IFERROR(VLOOKUP(Hospedaje!J25,Viajeros!$A$3:$G$102,7,FALSE),0)</f>
        <v>0</v>
      </c>
      <c r="I25" s="9">
        <f>IFERROR(VLOOKUP(Hospedaje!K25,Viajeros!$A$3:$G$102,7,FALSE),0)</f>
        <v>0</v>
      </c>
      <c r="J25" s="9">
        <f>IFERROR(VLOOKUP(Hospedaje!L25,Viajeros!$A$3:$G$102,7,FALSE),0)</f>
        <v>0</v>
      </c>
      <c r="K25" s="9">
        <f>IFERROR(VLOOKUP(Hospedaje!M25,Viajeros!$A$3:$G$102,7,FALSE),0)</f>
        <v>0</v>
      </c>
      <c r="L25" s="9">
        <f>IFERROR(VLOOKUP(Hospedaje!N25,Viajeros!$A$3:$G$102,7,FALSE),0)</f>
        <v>0</v>
      </c>
      <c r="M25" s="9">
        <f>IFERROR(VLOOKUP(Hospedaje!O25,Viajeros!$A$3:$G$102,7,FALSE),0)</f>
        <v>0</v>
      </c>
      <c r="N25" s="9">
        <f>IFERROR(VLOOKUP(Hospedaje!P25,Viajeros!$A$3:$G$102,7,FALSE),0)</f>
        <v>0</v>
      </c>
      <c r="O25" s="9">
        <f>IFERROR(VLOOKUP(Hospedaje!Q25,Viajeros!$A$3:$G$102,7,FALSE),0)</f>
        <v>0</v>
      </c>
      <c r="P25" s="9">
        <f>IFERROR(VLOOKUP(Hospedaje!R25,Viajeros!$A$3:$G$102,7,FALSE),0)</f>
        <v>0</v>
      </c>
      <c r="Q25" s="9">
        <f>IFERROR(VLOOKUP(Hospedaje!S25,Viajeros!$A$3:$G$102,7,FALSE),0)</f>
        <v>0</v>
      </c>
    </row>
    <row r="26">
      <c r="A26" s="9" t="str">
        <f>Caravana!A28</f>
        <v>Cómodo 1</v>
      </c>
      <c r="B26" s="9">
        <f t="shared" si="2"/>
        <v>4.5</v>
      </c>
      <c r="C26" s="9">
        <f>IFERROR(VLOOKUP(Hospedaje!E26,Viajeros!$A$3:$G$102,7,FALSE),0)</f>
        <v>1</v>
      </c>
      <c r="D26" s="9">
        <f>IFERROR(VLOOKUP(Hospedaje!F26,Viajeros!$A$3:$G$102,7,FALSE),0)</f>
        <v>1</v>
      </c>
      <c r="E26" s="9">
        <f>IFERROR(VLOOKUP(Hospedaje!G26,Viajeros!$A$3:$G$102,7,FALSE),0)</f>
        <v>1</v>
      </c>
      <c r="F26" s="9">
        <f>IFERROR(VLOOKUP(Hospedaje!H26,Viajeros!$A$3:$G$102,7,FALSE),0)</f>
        <v>1</v>
      </c>
      <c r="G26" s="9">
        <f>IFERROR(VLOOKUP(Hospedaje!I26,Viajeros!$A$3:$G$102,7,FALSE),0)</f>
        <v>0.5</v>
      </c>
      <c r="H26" s="9">
        <f>IFERROR(VLOOKUP(Hospedaje!J26,Viajeros!$A$3:$G$102,7,FALSE),0)</f>
        <v>0</v>
      </c>
      <c r="I26" s="9">
        <f>IFERROR(VLOOKUP(Hospedaje!K26,Viajeros!$A$3:$G$102,7,FALSE),0)</f>
        <v>0</v>
      </c>
      <c r="J26" s="9">
        <f>IFERROR(VLOOKUP(Hospedaje!L26,Viajeros!$A$3:$G$102,7,FALSE),0)</f>
        <v>0</v>
      </c>
      <c r="K26" s="9">
        <f>IFERROR(VLOOKUP(Hospedaje!M26,Viajeros!$A$3:$G$102,7,FALSE),0)</f>
        <v>0</v>
      </c>
      <c r="L26" s="9">
        <f>IFERROR(VLOOKUP(Hospedaje!N26,Viajeros!$A$3:$G$102,7,FALSE),0)</f>
        <v>0</v>
      </c>
      <c r="M26" s="9">
        <f>IFERROR(VLOOKUP(Hospedaje!O26,Viajeros!$A$3:$G$102,7,FALSE),0)</f>
        <v>0</v>
      </c>
      <c r="N26" s="9">
        <f>IFERROR(VLOOKUP(Hospedaje!P26,Viajeros!$A$3:$G$102,7,FALSE),0)</f>
        <v>0</v>
      </c>
      <c r="O26" s="9">
        <f>IFERROR(VLOOKUP(Hospedaje!Q26,Viajeros!$A$3:$G$102,7,FALSE),0)</f>
        <v>0</v>
      </c>
      <c r="P26" s="9">
        <f>IFERROR(VLOOKUP(Hospedaje!R26,Viajeros!$A$3:$G$102,7,FALSE),0)</f>
        <v>0</v>
      </c>
      <c r="Q26" s="9">
        <f>IFERROR(VLOOKUP(Hospedaje!S26,Viajeros!$A$3:$G$102,7,FALSE),0)</f>
        <v>0</v>
      </c>
    </row>
    <row r="27">
      <c r="A27" s="9" t="str">
        <f>Caravana!A29</f>
        <v>Cómodo 2</v>
      </c>
      <c r="B27" s="9">
        <f t="shared" si="2"/>
        <v>4</v>
      </c>
      <c r="C27" s="9">
        <f>IFERROR(VLOOKUP(Hospedaje!E27,Viajeros!$A$3:$G$102,7,FALSE),0)</f>
        <v>1</v>
      </c>
      <c r="D27" s="9">
        <f>IFERROR(VLOOKUP(Hospedaje!F27,Viajeros!$A$3:$G$102,7,FALSE),0)</f>
        <v>0.5</v>
      </c>
      <c r="E27" s="9">
        <f>IFERROR(VLOOKUP(Hospedaje!G27,Viajeros!$A$3:$G$102,7,FALSE),0)</f>
        <v>0.5</v>
      </c>
      <c r="F27" s="9">
        <f>IFERROR(VLOOKUP(Hospedaje!H27,Viajeros!$A$3:$G$102,7,FALSE),0)</f>
        <v>1</v>
      </c>
      <c r="G27" s="9">
        <f>IFERROR(VLOOKUP(Hospedaje!I27,Viajeros!$A$3:$G$102,7,FALSE),0)</f>
        <v>1</v>
      </c>
      <c r="H27" s="9">
        <f>IFERROR(VLOOKUP(Hospedaje!J27,Viajeros!$A$3:$G$102,7,FALSE),0)</f>
        <v>0</v>
      </c>
      <c r="I27" s="9">
        <f>IFERROR(VLOOKUP(Hospedaje!K27,Viajeros!$A$3:$G$102,7,FALSE),0)</f>
        <v>0</v>
      </c>
      <c r="J27" s="9">
        <f>IFERROR(VLOOKUP(Hospedaje!L27,Viajeros!$A$3:$G$102,7,FALSE),0)</f>
        <v>0</v>
      </c>
      <c r="K27" s="9">
        <f>IFERROR(VLOOKUP(Hospedaje!M27,Viajeros!$A$3:$G$102,7,FALSE),0)</f>
        <v>0</v>
      </c>
      <c r="L27" s="9">
        <f>IFERROR(VLOOKUP(Hospedaje!N27,Viajeros!$A$3:$G$102,7,FALSE),0)</f>
        <v>0</v>
      </c>
      <c r="M27" s="9">
        <f>IFERROR(VLOOKUP(Hospedaje!O27,Viajeros!$A$3:$G$102,7,FALSE),0)</f>
        <v>0</v>
      </c>
      <c r="N27" s="9">
        <f>IFERROR(VLOOKUP(Hospedaje!P27,Viajeros!$A$3:$G$102,7,FALSE),0)</f>
        <v>0</v>
      </c>
      <c r="O27" s="9">
        <f>IFERROR(VLOOKUP(Hospedaje!Q27,Viajeros!$A$3:$G$102,7,FALSE),0)</f>
        <v>0</v>
      </c>
      <c r="P27" s="9">
        <f>IFERROR(VLOOKUP(Hospedaje!R27,Viajeros!$A$3:$G$102,7,FALSE),0)</f>
        <v>0</v>
      </c>
      <c r="Q27" s="9">
        <f>IFERROR(VLOOKUP(Hospedaje!S27,Viajeros!$A$3:$G$102,7,FALSE),0)</f>
        <v>0</v>
      </c>
    </row>
    <row r="28">
      <c r="A28" s="9" t="str">
        <f>Caravana!A30</f>
        <v>Real</v>
      </c>
      <c r="B28" s="9">
        <f t="shared" si="2"/>
        <v>3</v>
      </c>
      <c r="C28" s="9">
        <f>IFERROR(VLOOKUP(Hospedaje!E28,Viajeros!$A$3:$G$102,7,FALSE),0)</f>
        <v>1</v>
      </c>
      <c r="D28" s="9">
        <f>IFERROR(VLOOKUP(Hospedaje!F28,Viajeros!$A$3:$G$102,7,FALSE),0)</f>
        <v>1</v>
      </c>
      <c r="E28" s="9">
        <f>IFERROR(VLOOKUP(Hospedaje!G28,Viajeros!$A$3:$G$102,7,FALSE),0)</f>
        <v>1</v>
      </c>
      <c r="F28" s="9">
        <f>IFERROR(VLOOKUP(Hospedaje!H28,Viajeros!$A$3:$G$102,7,FALSE),0)</f>
        <v>0</v>
      </c>
      <c r="G28" s="9">
        <f>IFERROR(VLOOKUP(Hospedaje!I28,Viajeros!$A$3:$G$102,7,FALSE),0)</f>
        <v>0</v>
      </c>
      <c r="H28" s="9">
        <f>IFERROR(VLOOKUP(Hospedaje!J28,Viajeros!$A$3:$G$102,7,FALSE),0)</f>
        <v>0</v>
      </c>
      <c r="I28" s="9">
        <f>IFERROR(VLOOKUP(Hospedaje!K28,Viajeros!$A$3:$G$102,7,FALSE),0)</f>
        <v>0</v>
      </c>
      <c r="J28" s="9">
        <f>IFERROR(VLOOKUP(Hospedaje!L28,Viajeros!$A$3:$G$102,7,FALSE),0)</f>
        <v>0</v>
      </c>
      <c r="K28" s="9">
        <f>IFERROR(VLOOKUP(Hospedaje!M28,Viajeros!$A$3:$G$102,7,FALSE),0)</f>
        <v>0</v>
      </c>
      <c r="L28" s="9">
        <f>IFERROR(VLOOKUP(Hospedaje!N28,Viajeros!$A$3:$G$102,7,FALSE),0)</f>
        <v>0</v>
      </c>
      <c r="M28" s="9">
        <f>IFERROR(VLOOKUP(Hospedaje!O28,Viajeros!$A$3:$G$102,7,FALSE),0)</f>
        <v>0</v>
      </c>
      <c r="N28" s="9">
        <f>IFERROR(VLOOKUP(Hospedaje!P28,Viajeros!$A$3:$G$102,7,FALSE),0)</f>
        <v>0</v>
      </c>
      <c r="O28" s="9">
        <f>IFERROR(VLOOKUP(Hospedaje!Q28,Viajeros!$A$3:$G$102,7,FALSE),0)</f>
        <v>0</v>
      </c>
      <c r="P28" s="9">
        <f>IFERROR(VLOOKUP(Hospedaje!R28,Viajeros!$A$3:$G$102,7,FALSE),0)</f>
        <v>0</v>
      </c>
      <c r="Q28" s="9">
        <f>IFERROR(VLOOKUP(Hospedaje!S28,Viajeros!$A$3:$G$102,7,FALSE),0)</f>
        <v>0</v>
      </c>
    </row>
    <row r="29">
      <c r="A29" s="9" t="str">
        <f>Caravana!A31</f>
        <v>Viajeros grande</v>
      </c>
      <c r="B29" s="9">
        <f t="shared" si="2"/>
        <v>9</v>
      </c>
      <c r="C29" s="9">
        <f>IFERROR(VLOOKUP(Hospedaje!E29,Viajeros!$A$3:$G$102,7,FALSE),0)</f>
        <v>1</v>
      </c>
      <c r="D29" s="9">
        <f>IFERROR(VLOOKUP(Hospedaje!F29,Viajeros!$A$3:$G$102,7,FALSE),0)</f>
        <v>1</v>
      </c>
      <c r="E29" s="9">
        <f>IFERROR(VLOOKUP(Hospedaje!G29,Viajeros!$A$3:$G$102,7,FALSE),0)</f>
        <v>1</v>
      </c>
      <c r="F29" s="9">
        <f>IFERROR(VLOOKUP(Hospedaje!H29,Viajeros!$A$3:$G$102,7,FALSE),0)</f>
        <v>1</v>
      </c>
      <c r="G29" s="9">
        <f>IFERROR(VLOOKUP(Hospedaje!I29,Viajeros!$A$3:$G$102,7,FALSE),0)</f>
        <v>1</v>
      </c>
      <c r="H29" s="9">
        <f>IFERROR(VLOOKUP(Hospedaje!J29,Viajeros!$A$3:$G$102,7,FALSE),0)</f>
        <v>1</v>
      </c>
      <c r="I29" s="9">
        <f>IFERROR(VLOOKUP(Hospedaje!K29,Viajeros!$A$3:$G$102,7,FALSE),0)</f>
        <v>1</v>
      </c>
      <c r="J29" s="9">
        <f>IFERROR(VLOOKUP(Hospedaje!L29,Viajeros!$A$3:$G$102,7,FALSE),0)</f>
        <v>1</v>
      </c>
      <c r="K29" s="9">
        <f>IFERROR(VLOOKUP(Hospedaje!M29,Viajeros!$A$3:$G$102,7,FALSE),0)</f>
        <v>1</v>
      </c>
      <c r="L29" s="9">
        <f>IFERROR(VLOOKUP(Hospedaje!N29,Viajeros!$A$3:$G$102,7,FALSE),0)</f>
        <v>0</v>
      </c>
      <c r="M29" s="9">
        <f>IFERROR(VLOOKUP(Hospedaje!O29,Viajeros!$A$3:$G$102,7,FALSE),0)</f>
        <v>0</v>
      </c>
      <c r="N29" s="9">
        <f>IFERROR(VLOOKUP(Hospedaje!P29,Viajeros!$A$3:$G$102,7,FALSE),0)</f>
        <v>0</v>
      </c>
      <c r="O29" s="9">
        <f>IFERROR(VLOOKUP(Hospedaje!Q29,Viajeros!$A$3:$G$102,7,FALSE),0)</f>
        <v>0</v>
      </c>
      <c r="P29" s="9">
        <f>IFERROR(VLOOKUP(Hospedaje!R29,Viajeros!$A$3:$G$102,7,FALSE),0)</f>
        <v>0</v>
      </c>
      <c r="Q29" s="9">
        <f>IFERROR(VLOOKUP(Hospedaje!S29,Viajeros!$A$3:$G$102,7,FALSE),0)</f>
        <v>0</v>
      </c>
    </row>
    <row r="30">
      <c r="A30" s="9" t="str">
        <f>Caravana!A32</f>
        <v/>
      </c>
      <c r="B30" s="9">
        <f t="shared" si="2"/>
        <v>0</v>
      </c>
      <c r="C30" s="9">
        <f>IFERROR(VLOOKUP(Hospedaje!E30,Viajeros!$A$3:$G$102,7,FALSE),0)</f>
        <v>0</v>
      </c>
      <c r="D30" s="9">
        <f>IFERROR(VLOOKUP(Hospedaje!F30,Viajeros!$A$3:$G$102,7,FALSE),0)</f>
        <v>0</v>
      </c>
      <c r="E30" s="9">
        <f>IFERROR(VLOOKUP(Hospedaje!G30,Viajeros!$A$3:$G$102,7,FALSE),0)</f>
        <v>0</v>
      </c>
      <c r="F30" s="9">
        <f>IFERROR(VLOOKUP(Hospedaje!H30,Viajeros!$A$3:$G$102,7,FALSE),0)</f>
        <v>0</v>
      </c>
      <c r="G30" s="9">
        <f>IFERROR(VLOOKUP(Hospedaje!I30,Viajeros!$A$3:$G$102,7,FALSE),0)</f>
        <v>0</v>
      </c>
      <c r="H30" s="9">
        <f>IFERROR(VLOOKUP(Hospedaje!J30,Viajeros!$A$3:$G$102,7,FALSE),0)</f>
        <v>0</v>
      </c>
      <c r="I30" s="9">
        <f>IFERROR(VLOOKUP(Hospedaje!K30,Viajeros!$A$3:$G$102,7,FALSE),0)</f>
        <v>0</v>
      </c>
      <c r="J30" s="9">
        <f>IFERROR(VLOOKUP(Hospedaje!L30,Viajeros!$A$3:$G$102,7,FALSE),0)</f>
        <v>0</v>
      </c>
      <c r="K30" s="9">
        <f>IFERROR(VLOOKUP(Hospedaje!M30,Viajeros!$A$3:$G$102,7,FALSE),0)</f>
        <v>0</v>
      </c>
      <c r="L30" s="9">
        <f>IFERROR(VLOOKUP(Hospedaje!N30,Viajeros!$A$3:$G$102,7,FALSE),0)</f>
        <v>0</v>
      </c>
      <c r="M30" s="9">
        <f>IFERROR(VLOOKUP(Hospedaje!O30,Viajeros!$A$3:$G$102,7,FALSE),0)</f>
        <v>0</v>
      </c>
      <c r="N30" s="9">
        <f>IFERROR(VLOOKUP(Hospedaje!P30,Viajeros!$A$3:$G$102,7,FALSE),0)</f>
        <v>0</v>
      </c>
      <c r="O30" s="9">
        <f>IFERROR(VLOOKUP(Hospedaje!Q30,Viajeros!$A$3:$G$102,7,FALSE),0)</f>
        <v>0</v>
      </c>
      <c r="P30" s="9">
        <f>IFERROR(VLOOKUP(Hospedaje!R30,Viajeros!$A$3:$G$102,7,FALSE),0)</f>
        <v>0</v>
      </c>
      <c r="Q30" s="9">
        <f>IFERROR(VLOOKUP(Hospedaje!S30,Viajeros!$A$3:$G$102,7,FALSE),0)</f>
        <v>0</v>
      </c>
    </row>
    <row r="31">
      <c r="A31" s="9" t="str">
        <f>Caravana!A33</f>
        <v/>
      </c>
      <c r="B31" s="9">
        <f t="shared" si="2"/>
        <v>0</v>
      </c>
      <c r="C31" s="9">
        <f>IFERROR(VLOOKUP(Hospedaje!E31,Viajeros!$A$3:$G$102,7,FALSE),0)</f>
        <v>0</v>
      </c>
      <c r="D31" s="9">
        <f>IFERROR(VLOOKUP(Hospedaje!F31,Viajeros!$A$3:$G$102,7,FALSE),0)</f>
        <v>0</v>
      </c>
      <c r="E31" s="9">
        <f>IFERROR(VLOOKUP(Hospedaje!G31,Viajeros!$A$3:$G$102,7,FALSE),0)</f>
        <v>0</v>
      </c>
      <c r="F31" s="9">
        <f>IFERROR(VLOOKUP(Hospedaje!H31,Viajeros!$A$3:$G$102,7,FALSE),0)</f>
        <v>0</v>
      </c>
      <c r="G31" s="9">
        <f>IFERROR(VLOOKUP(Hospedaje!I31,Viajeros!$A$3:$G$102,7,FALSE),0)</f>
        <v>0</v>
      </c>
      <c r="H31" s="9">
        <f>IFERROR(VLOOKUP(Hospedaje!J31,Viajeros!$A$3:$G$102,7,FALSE),0)</f>
        <v>0</v>
      </c>
      <c r="I31" s="9">
        <f>IFERROR(VLOOKUP(Hospedaje!K31,Viajeros!$A$3:$G$102,7,FALSE),0)</f>
        <v>0</v>
      </c>
      <c r="J31" s="9">
        <f>IFERROR(VLOOKUP(Hospedaje!L31,Viajeros!$A$3:$G$102,7,FALSE),0)</f>
        <v>0</v>
      </c>
      <c r="K31" s="9">
        <f>IFERROR(VLOOKUP(Hospedaje!M31,Viajeros!$A$3:$G$102,7,FALSE),0)</f>
        <v>0</v>
      </c>
      <c r="L31" s="9">
        <f>IFERROR(VLOOKUP(Hospedaje!N31,Viajeros!$A$3:$G$102,7,FALSE),0)</f>
        <v>0</v>
      </c>
      <c r="M31" s="9">
        <f>IFERROR(VLOOKUP(Hospedaje!O31,Viajeros!$A$3:$G$102,7,FALSE),0)</f>
        <v>0</v>
      </c>
      <c r="N31" s="9">
        <f>IFERROR(VLOOKUP(Hospedaje!P31,Viajeros!$A$3:$G$102,7,FALSE),0)</f>
        <v>0</v>
      </c>
      <c r="O31" s="9">
        <f>IFERROR(VLOOKUP(Hospedaje!Q31,Viajeros!$A$3:$G$102,7,FALSE),0)</f>
        <v>0</v>
      </c>
      <c r="P31" s="9">
        <f>IFERROR(VLOOKUP(Hospedaje!R31,Viajeros!$A$3:$G$102,7,FALSE),0)</f>
        <v>0</v>
      </c>
      <c r="Q31" s="9">
        <f>IFERROR(VLOOKUP(Hospedaje!S31,Viajeros!$A$3:$G$102,7,FALSE),0)</f>
        <v>0</v>
      </c>
    </row>
    <row r="32">
      <c r="A32" s="9" t="str">
        <f>Caravana!A34</f>
        <v/>
      </c>
      <c r="B32" s="9">
        <f t="shared" si="2"/>
        <v>0</v>
      </c>
      <c r="C32" s="9">
        <f>IFERROR(VLOOKUP(Hospedaje!E32,Viajeros!$A$3:$G$102,7,FALSE),0)</f>
        <v>0</v>
      </c>
      <c r="D32" s="9">
        <f>IFERROR(VLOOKUP(Hospedaje!F32,Viajeros!$A$3:$G$102,7,FALSE),0)</f>
        <v>0</v>
      </c>
      <c r="E32" s="9">
        <f>IFERROR(VLOOKUP(Hospedaje!G32,Viajeros!$A$3:$G$102,7,FALSE),0)</f>
        <v>0</v>
      </c>
      <c r="F32" s="9">
        <f>IFERROR(VLOOKUP(Hospedaje!H32,Viajeros!$A$3:$G$102,7,FALSE),0)</f>
        <v>0</v>
      </c>
      <c r="G32" s="9">
        <f>IFERROR(VLOOKUP(Hospedaje!I32,Viajeros!$A$3:$G$102,7,FALSE),0)</f>
        <v>0</v>
      </c>
      <c r="H32" s="9">
        <f>IFERROR(VLOOKUP(Hospedaje!J32,Viajeros!$A$3:$G$102,7,FALSE),0)</f>
        <v>0</v>
      </c>
      <c r="I32" s="9">
        <f>IFERROR(VLOOKUP(Hospedaje!K32,Viajeros!$A$3:$G$102,7,FALSE),0)</f>
        <v>0</v>
      </c>
      <c r="J32" s="9">
        <f>IFERROR(VLOOKUP(Hospedaje!L32,Viajeros!$A$3:$G$102,7,FALSE),0)</f>
        <v>0</v>
      </c>
      <c r="K32" s="9">
        <f>IFERROR(VLOOKUP(Hospedaje!M32,Viajeros!$A$3:$G$102,7,FALSE),0)</f>
        <v>0</v>
      </c>
      <c r="L32" s="9">
        <f>IFERROR(VLOOKUP(Hospedaje!N32,Viajeros!$A$3:$G$102,7,FALSE),0)</f>
        <v>0</v>
      </c>
      <c r="M32" s="9">
        <f>IFERROR(VLOOKUP(Hospedaje!O32,Viajeros!$A$3:$G$102,7,FALSE),0)</f>
        <v>0</v>
      </c>
      <c r="N32" s="9">
        <f>IFERROR(VLOOKUP(Hospedaje!P32,Viajeros!$A$3:$G$102,7,FALSE),0)</f>
        <v>0</v>
      </c>
      <c r="O32" s="9">
        <f>IFERROR(VLOOKUP(Hospedaje!Q32,Viajeros!$A$3:$G$102,7,FALSE),0)</f>
        <v>0</v>
      </c>
      <c r="P32" s="9">
        <f>IFERROR(VLOOKUP(Hospedaje!R32,Viajeros!$A$3:$G$102,7,FALSE),0)</f>
        <v>0</v>
      </c>
      <c r="Q32" s="9">
        <f>IFERROR(VLOOKUP(Hospedaje!S32,Viajeros!$A$3:$G$102,7,FALSE),0)</f>
        <v>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7</v>
      </c>
      <c r="B1" s="33" t="s">
        <v>349</v>
      </c>
      <c r="C1" s="33">
        <v>1.0</v>
      </c>
      <c r="D1" s="33">
        <f t="shared" ref="D1:AF1" si="1">C1+1</f>
        <v>2</v>
      </c>
      <c r="E1" s="33">
        <f t="shared" si="1"/>
        <v>3</v>
      </c>
      <c r="F1" s="33">
        <f t="shared" si="1"/>
        <v>4</v>
      </c>
      <c r="G1" s="33">
        <f t="shared" si="1"/>
        <v>5</v>
      </c>
      <c r="H1" s="33">
        <f t="shared" si="1"/>
        <v>6</v>
      </c>
      <c r="I1" s="33">
        <f t="shared" si="1"/>
        <v>7</v>
      </c>
      <c r="J1" s="33">
        <f t="shared" si="1"/>
        <v>8</v>
      </c>
      <c r="K1" s="33">
        <f t="shared" si="1"/>
        <v>9</v>
      </c>
      <c r="L1" s="33">
        <f t="shared" si="1"/>
        <v>10</v>
      </c>
      <c r="M1" s="33">
        <f t="shared" si="1"/>
        <v>11</v>
      </c>
      <c r="N1" s="33">
        <f t="shared" si="1"/>
        <v>12</v>
      </c>
      <c r="O1" s="33">
        <f t="shared" si="1"/>
        <v>13</v>
      </c>
      <c r="P1" s="33">
        <f t="shared" si="1"/>
        <v>14</v>
      </c>
      <c r="Q1" s="33">
        <f t="shared" si="1"/>
        <v>15</v>
      </c>
      <c r="R1" s="33">
        <f t="shared" si="1"/>
        <v>16</v>
      </c>
      <c r="S1" s="33">
        <f t="shared" si="1"/>
        <v>17</v>
      </c>
      <c r="T1" s="33">
        <f t="shared" si="1"/>
        <v>18</v>
      </c>
      <c r="U1" s="33">
        <f t="shared" si="1"/>
        <v>19</v>
      </c>
      <c r="V1" s="33">
        <f t="shared" si="1"/>
        <v>20</v>
      </c>
      <c r="W1" s="33">
        <f t="shared" si="1"/>
        <v>21</v>
      </c>
      <c r="X1" s="33">
        <f t="shared" si="1"/>
        <v>22</v>
      </c>
      <c r="Y1" s="33">
        <f t="shared" si="1"/>
        <v>23</v>
      </c>
      <c r="Z1" s="33">
        <f t="shared" si="1"/>
        <v>24</v>
      </c>
      <c r="AA1" s="33">
        <f t="shared" si="1"/>
        <v>25</v>
      </c>
      <c r="AB1" s="33">
        <f t="shared" si="1"/>
        <v>26</v>
      </c>
      <c r="AC1" s="33">
        <f t="shared" si="1"/>
        <v>27</v>
      </c>
      <c r="AD1" s="33">
        <f t="shared" si="1"/>
        <v>28</v>
      </c>
      <c r="AE1" s="33">
        <f t="shared" si="1"/>
        <v>29</v>
      </c>
      <c r="AF1" s="33">
        <f t="shared" si="1"/>
        <v>30</v>
      </c>
    </row>
    <row r="2">
      <c r="A2" s="9" t="str">
        <f>Caravana!A4</f>
        <v>Viajeros 1</v>
      </c>
      <c r="B2" s="9">
        <f t="shared" ref="B2:B32" si="2">SUM(C2:AF2)</f>
        <v>4</v>
      </c>
      <c r="C2" s="9">
        <f>IFERROR(VLOOKUP(Carga!D2,'Lista Mercancías'!$A$2:$B$100,2,FALSE),0)</f>
        <v>1</v>
      </c>
      <c r="D2" s="9">
        <f>IFERROR(VLOOKUP(Carga!E2,'Lista Mercancías'!$A$2:$B$100,2,FALSE),0)</f>
        <v>1</v>
      </c>
      <c r="E2" s="9">
        <f>IFERROR(VLOOKUP(Carga!F2,'Lista Mercancías'!$A$2:$B$100,2,FALSE),0)</f>
        <v>1</v>
      </c>
      <c r="F2" s="9">
        <f>IFERROR(VLOOKUP(Carga!G2,'Lista Mercancías'!$A$2:$B$100,2,FALSE),0)</f>
        <v>1</v>
      </c>
      <c r="G2" s="9">
        <f>IFERROR(VLOOKUP(Carga!H2,'Lista Mercancías'!$A$2:$B$100,2,FALSE),0)</f>
        <v>0</v>
      </c>
      <c r="H2" s="9">
        <f>IFERROR(VLOOKUP(Carga!I2,'Lista Mercancías'!$A$2:$B$100,2,FALSE),0)</f>
        <v>0</v>
      </c>
      <c r="I2" s="9">
        <f>IFERROR(VLOOKUP(Carga!J2,'Lista Mercancías'!$A$2:$B$100,2,FALSE),0)</f>
        <v>0</v>
      </c>
      <c r="J2" s="9">
        <f>IFERROR(VLOOKUP(Carga!K2,'Lista Mercancías'!$A$2:$B$100,2,FALSE),0)</f>
        <v>0</v>
      </c>
      <c r="K2" s="9">
        <f>IFERROR(VLOOKUP(Carga!L2,'Lista Mercancías'!$A$2:$B$100,2,FALSE),0)</f>
        <v>0</v>
      </c>
      <c r="L2" s="9">
        <f>IFERROR(VLOOKUP(Carga!M2,'Lista Mercancías'!$A$2:$B$100,2,FALSE),0)</f>
        <v>0</v>
      </c>
      <c r="M2" s="9">
        <f>IFERROR(VLOOKUP(Carga!N2,'Lista Mercancías'!$A$2:$B$100,2,FALSE),0)</f>
        <v>0</v>
      </c>
      <c r="N2" s="9">
        <f>IFERROR(VLOOKUP(Carga!O2,'Lista Mercancías'!$A$2:$B$100,2,FALSE),0)</f>
        <v>0</v>
      </c>
      <c r="O2" s="9">
        <f>IFERROR(VLOOKUP(Carga!P2,'Lista Mercancías'!$A$2:$B$100,2,FALSE),0)</f>
        <v>0</v>
      </c>
      <c r="P2" s="9">
        <f>IFERROR(VLOOKUP(Carga!Q2,'Lista Mercancías'!$A$2:$B$100,2,FALSE),0)</f>
        <v>0</v>
      </c>
      <c r="Q2" s="9">
        <f>IFERROR(VLOOKUP(Carga!R2,'Lista Mercancías'!$A$2:$B$100,2,FALSE),0)</f>
        <v>0</v>
      </c>
      <c r="R2" s="9">
        <f>IFERROR(VLOOKUP(Carga!S2,'Lista Mercancías'!$A$2:$B$100,2,FALSE),0)</f>
        <v>0</v>
      </c>
      <c r="S2" s="9">
        <f>IFERROR(VLOOKUP(Carga!T2,'Lista Mercancías'!$A$2:$B$100,2,FALSE),0)</f>
        <v>0</v>
      </c>
      <c r="T2" s="9">
        <f>IFERROR(VLOOKUP(Carga!U2,'Lista Mercancías'!$A$2:$B$100,2,FALSE),0)</f>
        <v>0</v>
      </c>
      <c r="U2" s="9">
        <f>IFERROR(VLOOKUP(Carga!V2,'Lista Mercancías'!$A$2:$B$100,2,FALSE),0)</f>
        <v>0</v>
      </c>
      <c r="V2" s="9">
        <f>IFERROR(VLOOKUP(Carga!W2,'Lista Mercancías'!$A$2:$B$100,2,FALSE),0)</f>
        <v>0</v>
      </c>
      <c r="W2" s="9">
        <f>IFERROR(VLOOKUP(Carga!X2,'Lista Mercancías'!$A$2:$B$100,2,FALSE),0)</f>
        <v>0</v>
      </c>
      <c r="X2" s="9">
        <f>IFERROR(VLOOKUP(Carga!Y2,'Lista Mercancías'!$A$2:$B$100,2,FALSE),0)</f>
        <v>0</v>
      </c>
      <c r="Y2" s="9">
        <f>IFERROR(VLOOKUP(Carga!Z2,'Lista Mercancías'!$A$2:$B$100,2,FALSE),0)</f>
        <v>0</v>
      </c>
      <c r="Z2" s="9">
        <f>IFERROR(VLOOKUP(Carga!AA2,'Lista Mercancías'!$A$2:$B$100,2,FALSE),0)</f>
        <v>0</v>
      </c>
      <c r="AA2" s="9">
        <f>IFERROR(VLOOKUP(Carga!AB2,'Lista Mercancías'!$A$2:$B$100,2,FALSE),0)</f>
        <v>0</v>
      </c>
      <c r="AB2" s="9">
        <f>IFERROR(VLOOKUP(Carga!AC2,'Lista Mercancías'!$A$2:$B$100,2,FALSE),0)</f>
        <v>0</v>
      </c>
      <c r="AC2" s="9">
        <f>IFERROR(VLOOKUP(Carga!AH2,'Lista Mercancías'!$A$2:$B$100,2,FALSE),0)</f>
        <v>0</v>
      </c>
      <c r="AD2" s="9">
        <f>IFERROR(VLOOKUP(Carga!AI2,'Lista Mercancías'!$A$2:$B$100,2,FALSE),0)</f>
        <v>0</v>
      </c>
      <c r="AE2" s="9">
        <f>IFERROR(VLOOKUP(Carga!AJ2,'Lista Mercancías'!$A$2:$B$100,2,FALSE),0)</f>
        <v>0</v>
      </c>
      <c r="AF2" s="9">
        <f>IFERROR(VLOOKUP(Carga!AK2,'Lista Mercancías'!$A$2:$B$100,2,FALSE),0)</f>
        <v>0</v>
      </c>
    </row>
    <row r="3">
      <c r="A3" s="9" t="str">
        <f>Caravana!A5</f>
        <v>Viajeros 2</v>
      </c>
      <c r="B3" s="9">
        <f t="shared" si="2"/>
        <v>3</v>
      </c>
      <c r="C3" s="9">
        <f>IFERROR(VLOOKUP(Carga!D3,'Lista Mercancías'!$A$2:$B$100,2,FALSE),0)</f>
        <v>1</v>
      </c>
      <c r="D3" s="9">
        <f>IFERROR(VLOOKUP(Carga!E3,'Lista Mercancías'!$A$2:$B$100,2,FALSE),0)</f>
        <v>1</v>
      </c>
      <c r="E3" s="9">
        <f>IFERROR(VLOOKUP(Carga!F3,'Lista Mercancías'!$A$2:$B$100,2,FALSE),0)</f>
        <v>1</v>
      </c>
      <c r="F3" s="9">
        <f>IFERROR(VLOOKUP(Carga!G3,'Lista Mercancías'!$A$2:$B$100,2,FALSE),0)</f>
        <v>0</v>
      </c>
      <c r="G3" s="9">
        <f>IFERROR(VLOOKUP(Carga!H3,'Lista Mercancías'!$A$2:$B$100,2,FALSE),0)</f>
        <v>0</v>
      </c>
      <c r="H3" s="9">
        <f>IFERROR(VLOOKUP(Carga!I3,'Lista Mercancías'!$A$2:$B$100,2,FALSE),0)</f>
        <v>0</v>
      </c>
      <c r="I3" s="9">
        <f>IFERROR(VLOOKUP(Carga!J3,'Lista Mercancías'!$A$2:$B$100,2,FALSE),0)</f>
        <v>0</v>
      </c>
      <c r="J3" s="9">
        <f>IFERROR(VLOOKUP(Carga!K3,'Lista Mercancías'!$A$2:$B$100,2,FALSE),0)</f>
        <v>0</v>
      </c>
      <c r="K3" s="9">
        <f>IFERROR(VLOOKUP(Carga!L3,'Lista Mercancías'!$A$2:$B$100,2,FALSE),0)</f>
        <v>0</v>
      </c>
      <c r="L3" s="9">
        <f>IFERROR(VLOOKUP(Carga!M3,'Lista Mercancías'!$A$2:$B$100,2,FALSE),0)</f>
        <v>0</v>
      </c>
      <c r="M3" s="9">
        <f>IFERROR(VLOOKUP(Carga!N3,'Lista Mercancías'!$A$2:$B$100,2,FALSE),0)</f>
        <v>0</v>
      </c>
      <c r="N3" s="9">
        <f>IFERROR(VLOOKUP(Carga!O3,'Lista Mercancías'!$A$2:$B$100,2,FALSE),0)</f>
        <v>0</v>
      </c>
      <c r="O3" s="9">
        <f>IFERROR(VLOOKUP(Carga!P3,'Lista Mercancías'!$A$2:$B$100,2,FALSE),0)</f>
        <v>0</v>
      </c>
      <c r="P3" s="9">
        <f>IFERROR(VLOOKUP(Carga!Q3,'Lista Mercancías'!$A$2:$B$100,2,FALSE),0)</f>
        <v>0</v>
      </c>
      <c r="Q3" s="9">
        <f>IFERROR(VLOOKUP(Carga!R3,'Lista Mercancías'!$A$2:$B$100,2,FALSE),0)</f>
        <v>0</v>
      </c>
      <c r="R3" s="9">
        <f>IFERROR(VLOOKUP(Carga!S3,'Lista Mercancías'!$A$2:$B$100,2,FALSE),0)</f>
        <v>0</v>
      </c>
      <c r="S3" s="9">
        <f>IFERROR(VLOOKUP(Carga!T3,'Lista Mercancías'!$A$2:$B$100,2,FALSE),0)</f>
        <v>0</v>
      </c>
      <c r="T3" s="9">
        <f>IFERROR(VLOOKUP(Carga!U3,'Lista Mercancías'!$A$2:$B$100,2,FALSE),0)</f>
        <v>0</v>
      </c>
      <c r="U3" s="9">
        <f>IFERROR(VLOOKUP(Carga!V3,'Lista Mercancías'!$A$2:$B$100,2,FALSE),0)</f>
        <v>0</v>
      </c>
      <c r="V3" s="9">
        <f>IFERROR(VLOOKUP(Carga!W3,'Lista Mercancías'!$A$2:$B$100,2,FALSE),0)</f>
        <v>0</v>
      </c>
      <c r="W3" s="9">
        <f>IFERROR(VLOOKUP(Carga!X3,'Lista Mercancías'!$A$2:$B$100,2,FALSE),0)</f>
        <v>0</v>
      </c>
      <c r="X3" s="9">
        <f>IFERROR(VLOOKUP(Carga!Y3,'Lista Mercancías'!$A$2:$B$100,2,FALSE),0)</f>
        <v>0</v>
      </c>
      <c r="Y3" s="9">
        <f>IFERROR(VLOOKUP(Carga!Z3,'Lista Mercancías'!$A$2:$B$100,2,FALSE),0)</f>
        <v>0</v>
      </c>
      <c r="Z3" s="9">
        <f>IFERROR(VLOOKUP(Carga!AA3,'Lista Mercancías'!$A$2:$B$100,2,FALSE),0)</f>
        <v>0</v>
      </c>
      <c r="AA3" s="9">
        <f>IFERROR(VLOOKUP(Carga!AB3,'Lista Mercancías'!$A$2:$B$100,2,FALSE),0)</f>
        <v>0</v>
      </c>
      <c r="AB3" s="9">
        <f>IFERROR(VLOOKUP(Carga!AC3,'Lista Mercancías'!$A$2:$B$100,2,FALSE),0)</f>
        <v>0</v>
      </c>
      <c r="AC3" s="9">
        <f>IFERROR(VLOOKUP(Carga!AH3,'Lista Mercancías'!$A$2:$B$100,2,FALSE),0)</f>
        <v>0</v>
      </c>
      <c r="AD3" s="9">
        <f>IFERROR(VLOOKUP(Carga!AI3,'Lista Mercancías'!$A$2:$B$100,2,FALSE),0)</f>
        <v>0</v>
      </c>
      <c r="AE3" s="9">
        <f>IFERROR(VLOOKUP(Carga!AJ3,'Lista Mercancías'!$A$2:$B$100,2,FALSE),0)</f>
        <v>0</v>
      </c>
      <c r="AF3" s="9">
        <f>IFERROR(VLOOKUP(Carga!AK3,'Lista Mercancías'!$A$2:$B$100,2,FALSE),0)</f>
        <v>0</v>
      </c>
    </row>
    <row r="4">
      <c r="A4" s="9" t="str">
        <f>Caravana!A6</f>
        <v>Viajeros 3</v>
      </c>
      <c r="B4" s="9">
        <f t="shared" si="2"/>
        <v>3</v>
      </c>
      <c r="C4" s="9">
        <f>IFERROR(VLOOKUP(Carga!D4,'Lista Mercancías'!$A$2:$B$100,2,FALSE),0)</f>
        <v>1</v>
      </c>
      <c r="D4" s="9">
        <f>IFERROR(VLOOKUP(Carga!E4,'Lista Mercancías'!$A$2:$B$100,2,FALSE),0)</f>
        <v>1</v>
      </c>
      <c r="E4" s="9">
        <f>IFERROR(VLOOKUP(Carga!F4,'Lista Mercancías'!$A$2:$B$100,2,FALSE),0)</f>
        <v>1</v>
      </c>
      <c r="F4" s="9">
        <f>IFERROR(VLOOKUP(Carga!G4,'Lista Mercancías'!$A$2:$B$100,2,FALSE),0)</f>
        <v>0</v>
      </c>
      <c r="G4" s="9">
        <f>IFERROR(VLOOKUP(Carga!H4,'Lista Mercancías'!$A$2:$B$100,2,FALSE),0)</f>
        <v>0</v>
      </c>
      <c r="H4" s="9">
        <f>IFERROR(VLOOKUP(Carga!I4,'Lista Mercancías'!$A$2:$B$100,2,FALSE),0)</f>
        <v>0</v>
      </c>
      <c r="I4" s="9">
        <f>IFERROR(VLOOKUP(Carga!J4,'Lista Mercancías'!$A$2:$B$100,2,FALSE),0)</f>
        <v>0</v>
      </c>
      <c r="J4" s="9">
        <f>IFERROR(VLOOKUP(Carga!K4,'Lista Mercancías'!$A$2:$B$100,2,FALSE),0)</f>
        <v>0</v>
      </c>
      <c r="K4" s="9">
        <f>IFERROR(VLOOKUP(Carga!L4,'Lista Mercancías'!$A$2:$B$100,2,FALSE),0)</f>
        <v>0</v>
      </c>
      <c r="L4" s="9">
        <f>IFERROR(VLOOKUP(Carga!M4,'Lista Mercancías'!$A$2:$B$100,2,FALSE),0)</f>
        <v>0</v>
      </c>
      <c r="M4" s="9">
        <f>IFERROR(VLOOKUP(Carga!N4,'Lista Mercancías'!$A$2:$B$100,2,FALSE),0)</f>
        <v>0</v>
      </c>
      <c r="N4" s="9">
        <f>IFERROR(VLOOKUP(Carga!O4,'Lista Mercancías'!$A$2:$B$100,2,FALSE),0)</f>
        <v>0</v>
      </c>
      <c r="O4" s="9">
        <f>IFERROR(VLOOKUP(Carga!P4,'Lista Mercancías'!$A$2:$B$100,2,FALSE),0)</f>
        <v>0</v>
      </c>
      <c r="P4" s="9">
        <f>IFERROR(VLOOKUP(Carga!Q4,'Lista Mercancías'!$A$2:$B$100,2,FALSE),0)</f>
        <v>0</v>
      </c>
      <c r="Q4" s="9">
        <f>IFERROR(VLOOKUP(Carga!R4,'Lista Mercancías'!$A$2:$B$100,2,FALSE),0)</f>
        <v>0</v>
      </c>
      <c r="R4" s="9">
        <f>IFERROR(VLOOKUP(Carga!S4,'Lista Mercancías'!$A$2:$B$100,2,FALSE),0)</f>
        <v>0</v>
      </c>
      <c r="S4" s="9">
        <f>IFERROR(VLOOKUP(Carga!T4,'Lista Mercancías'!$A$2:$B$100,2,FALSE),0)</f>
        <v>0</v>
      </c>
      <c r="T4" s="9">
        <f>IFERROR(VLOOKUP(Carga!U4,'Lista Mercancías'!$A$2:$B$100,2,FALSE),0)</f>
        <v>0</v>
      </c>
      <c r="U4" s="9">
        <f>IFERROR(VLOOKUP(Carga!V4,'Lista Mercancías'!$A$2:$B$100,2,FALSE),0)</f>
        <v>0</v>
      </c>
      <c r="V4" s="9">
        <f>IFERROR(VLOOKUP(Carga!W4,'Lista Mercancías'!$A$2:$B$100,2,FALSE),0)</f>
        <v>0</v>
      </c>
      <c r="W4" s="9">
        <f>IFERROR(VLOOKUP(Carga!X4,'Lista Mercancías'!$A$2:$B$100,2,FALSE),0)</f>
        <v>0</v>
      </c>
      <c r="X4" s="9">
        <f>IFERROR(VLOOKUP(Carga!Y4,'Lista Mercancías'!$A$2:$B$100,2,FALSE),0)</f>
        <v>0</v>
      </c>
      <c r="Y4" s="9">
        <f>IFERROR(VLOOKUP(Carga!Z4,'Lista Mercancías'!$A$2:$B$100,2,FALSE),0)</f>
        <v>0</v>
      </c>
      <c r="Z4" s="9">
        <f>IFERROR(VLOOKUP(Carga!AA4,'Lista Mercancías'!$A$2:$B$100,2,FALSE),0)</f>
        <v>0</v>
      </c>
      <c r="AA4" s="9">
        <f>IFERROR(VLOOKUP(Carga!AB4,'Lista Mercancías'!$A$2:$B$100,2,FALSE),0)</f>
        <v>0</v>
      </c>
      <c r="AB4" s="9">
        <f>IFERROR(VLOOKUP(Carga!AC4,'Lista Mercancías'!$A$2:$B$100,2,FALSE),0)</f>
        <v>0</v>
      </c>
      <c r="AC4" s="9">
        <f>IFERROR(VLOOKUP(Carga!AH4,'Lista Mercancías'!$A$2:$B$100,2,FALSE),0)</f>
        <v>0</v>
      </c>
      <c r="AD4" s="9">
        <f>IFERROR(VLOOKUP(Carga!AI4,'Lista Mercancías'!$A$2:$B$100,2,FALSE),0)</f>
        <v>0</v>
      </c>
      <c r="AE4" s="9">
        <f>IFERROR(VLOOKUP(Carga!AJ4,'Lista Mercancías'!$A$2:$B$100,2,FALSE),0)</f>
        <v>0</v>
      </c>
      <c r="AF4" s="9">
        <f>IFERROR(VLOOKUP(Carga!AK4,'Lista Mercancías'!$A$2:$B$100,2,FALSE),0)</f>
        <v>0</v>
      </c>
    </row>
    <row r="5">
      <c r="A5" s="9" t="str">
        <f>Caravana!A7</f>
        <v>Viajeros 4</v>
      </c>
      <c r="B5" s="9">
        <f t="shared" si="2"/>
        <v>4</v>
      </c>
      <c r="C5" s="9">
        <f>IFERROR(VLOOKUP(Carga!D5,'Lista Mercancías'!$A$2:$B$100,2,FALSE),0)</f>
        <v>1</v>
      </c>
      <c r="D5" s="9">
        <f>IFERROR(VLOOKUP(Carga!E5,'Lista Mercancías'!$A$2:$B$100,2,FALSE),0)</f>
        <v>2</v>
      </c>
      <c r="E5" s="9">
        <f>IFERROR(VLOOKUP(Carga!F5,'Lista Mercancías'!$A$2:$B$100,2,FALSE),0)</f>
        <v>1</v>
      </c>
      <c r="F5" s="9">
        <f>IFERROR(VLOOKUP(Carga!G5,'Lista Mercancías'!$A$2:$B$100,2,FALSE),0)</f>
        <v>0</v>
      </c>
      <c r="G5" s="9">
        <f>IFERROR(VLOOKUP(Carga!H5,'Lista Mercancías'!$A$2:$B$100,2,FALSE),0)</f>
        <v>0</v>
      </c>
      <c r="H5" s="9">
        <f>IFERROR(VLOOKUP(Carga!I5,'Lista Mercancías'!$A$2:$B$100,2,FALSE),0)</f>
        <v>0</v>
      </c>
      <c r="I5" s="9">
        <f>IFERROR(VLOOKUP(Carga!J5,'Lista Mercancías'!$A$2:$B$100,2,FALSE),0)</f>
        <v>0</v>
      </c>
      <c r="J5" s="9">
        <f>IFERROR(VLOOKUP(Carga!K5,'Lista Mercancías'!$A$2:$B$100,2,FALSE),0)</f>
        <v>0</v>
      </c>
      <c r="K5" s="9">
        <f>IFERROR(VLOOKUP(Carga!L5,'Lista Mercancías'!$A$2:$B$100,2,FALSE),0)</f>
        <v>0</v>
      </c>
      <c r="L5" s="9">
        <f>IFERROR(VLOOKUP(Carga!M5,'Lista Mercancías'!$A$2:$B$100,2,FALSE),0)</f>
        <v>0</v>
      </c>
      <c r="M5" s="9">
        <f>IFERROR(VLOOKUP(Carga!N5,'Lista Mercancías'!$A$2:$B$100,2,FALSE),0)</f>
        <v>0</v>
      </c>
      <c r="N5" s="9">
        <f>IFERROR(VLOOKUP(Carga!O5,'Lista Mercancías'!$A$2:$B$100,2,FALSE),0)</f>
        <v>0</v>
      </c>
      <c r="O5" s="9">
        <f>IFERROR(VLOOKUP(Carga!P5,'Lista Mercancías'!$A$2:$B$100,2,FALSE),0)</f>
        <v>0</v>
      </c>
      <c r="P5" s="9">
        <f>IFERROR(VLOOKUP(Carga!Q5,'Lista Mercancías'!$A$2:$B$100,2,FALSE),0)</f>
        <v>0</v>
      </c>
      <c r="Q5" s="9">
        <f>IFERROR(VLOOKUP(Carga!R5,'Lista Mercancías'!$A$2:$B$100,2,FALSE),0)</f>
        <v>0</v>
      </c>
      <c r="R5" s="9">
        <f>IFERROR(VLOOKUP(Carga!S5,'Lista Mercancías'!$A$2:$B$100,2,FALSE),0)</f>
        <v>0</v>
      </c>
      <c r="S5" s="9">
        <f>IFERROR(VLOOKUP(Carga!T5,'Lista Mercancías'!$A$2:$B$100,2,FALSE),0)</f>
        <v>0</v>
      </c>
      <c r="T5" s="9">
        <f>IFERROR(VLOOKUP(Carga!U5,'Lista Mercancías'!$A$2:$B$100,2,FALSE),0)</f>
        <v>0</v>
      </c>
      <c r="U5" s="9">
        <f>IFERROR(VLOOKUP(Carga!V5,'Lista Mercancías'!$A$2:$B$100,2,FALSE),0)</f>
        <v>0</v>
      </c>
      <c r="V5" s="9">
        <f>IFERROR(VLOOKUP(Carga!W5,'Lista Mercancías'!$A$2:$B$100,2,FALSE),0)</f>
        <v>0</v>
      </c>
      <c r="W5" s="9">
        <f>IFERROR(VLOOKUP(Carga!X5,'Lista Mercancías'!$A$2:$B$100,2,FALSE),0)</f>
        <v>0</v>
      </c>
      <c r="X5" s="9">
        <f>IFERROR(VLOOKUP(Carga!Y5,'Lista Mercancías'!$A$2:$B$100,2,FALSE),0)</f>
        <v>0</v>
      </c>
      <c r="Y5" s="9">
        <f>IFERROR(VLOOKUP(Carga!Z5,'Lista Mercancías'!$A$2:$B$100,2,FALSE),0)</f>
        <v>0</v>
      </c>
      <c r="Z5" s="9">
        <f>IFERROR(VLOOKUP(Carga!AA5,'Lista Mercancías'!$A$2:$B$100,2,FALSE),0)</f>
        <v>0</v>
      </c>
      <c r="AA5" s="9">
        <f>IFERROR(VLOOKUP(Carga!AB5,'Lista Mercancías'!$A$2:$B$100,2,FALSE),0)</f>
        <v>0</v>
      </c>
      <c r="AB5" s="9">
        <f>IFERROR(VLOOKUP(Carga!AC5,'Lista Mercancías'!$A$2:$B$100,2,FALSE),0)</f>
        <v>0</v>
      </c>
      <c r="AC5" s="9">
        <f>IFERROR(VLOOKUP(Carga!AH5,'Lista Mercancías'!$A$2:$B$100,2,FALSE),0)</f>
        <v>0</v>
      </c>
      <c r="AD5" s="9">
        <f>IFERROR(VLOOKUP(Carga!AI5,'Lista Mercancías'!$A$2:$B$100,2,FALSE),0)</f>
        <v>0</v>
      </c>
      <c r="AE5" s="9">
        <f>IFERROR(VLOOKUP(Carga!AJ5,'Lista Mercancías'!$A$2:$B$100,2,FALSE),0)</f>
        <v>0</v>
      </c>
      <c r="AF5" s="9">
        <f>IFERROR(VLOOKUP(Carga!AK5,'Lista Mercancías'!$A$2:$B$100,2,FALSE),0)</f>
        <v>0</v>
      </c>
    </row>
    <row r="6">
      <c r="A6" s="9" t="str">
        <f>Caravana!A8</f>
        <v>Viajeros 5</v>
      </c>
      <c r="B6" s="9">
        <f t="shared" si="2"/>
        <v>4</v>
      </c>
      <c r="C6" s="9">
        <f>IFERROR(VLOOKUP(Carga!D6,'Lista Mercancías'!$A$2:$B$100,2,FALSE),0)</f>
        <v>1</v>
      </c>
      <c r="D6" s="9">
        <f>IFERROR(VLOOKUP(Carga!E6,'Lista Mercancías'!$A$2:$B$100,2,FALSE),0)</f>
        <v>2</v>
      </c>
      <c r="E6" s="9">
        <f>IFERROR(VLOOKUP(Carga!F6,'Lista Mercancías'!$A$2:$B$100,2,FALSE),0)</f>
        <v>1</v>
      </c>
      <c r="F6" s="9">
        <f>IFERROR(VLOOKUP(Carga!G6,'Lista Mercancías'!$A$2:$B$100,2,FALSE),0)</f>
        <v>0</v>
      </c>
      <c r="G6" s="9">
        <f>IFERROR(VLOOKUP(Carga!H6,'Lista Mercancías'!$A$2:$B$100,2,FALSE),0)</f>
        <v>0</v>
      </c>
      <c r="H6" s="9">
        <f>IFERROR(VLOOKUP(Carga!I6,'Lista Mercancías'!$A$2:$B$100,2,FALSE),0)</f>
        <v>0</v>
      </c>
      <c r="I6" s="9">
        <f>IFERROR(VLOOKUP(Carga!J6,'Lista Mercancías'!$A$2:$B$100,2,FALSE),0)</f>
        <v>0</v>
      </c>
      <c r="J6" s="9">
        <f>IFERROR(VLOOKUP(Carga!K6,'Lista Mercancías'!$A$2:$B$100,2,FALSE),0)</f>
        <v>0</v>
      </c>
      <c r="K6" s="9">
        <f>IFERROR(VLOOKUP(Carga!L6,'Lista Mercancías'!$A$2:$B$100,2,FALSE),0)</f>
        <v>0</v>
      </c>
      <c r="L6" s="9">
        <f>IFERROR(VLOOKUP(Carga!M6,'Lista Mercancías'!$A$2:$B$100,2,FALSE),0)</f>
        <v>0</v>
      </c>
      <c r="M6" s="9">
        <f>IFERROR(VLOOKUP(Carga!N6,'Lista Mercancías'!$A$2:$B$100,2,FALSE),0)</f>
        <v>0</v>
      </c>
      <c r="N6" s="9">
        <f>IFERROR(VLOOKUP(Carga!O6,'Lista Mercancías'!$A$2:$B$100,2,FALSE),0)</f>
        <v>0</v>
      </c>
      <c r="O6" s="9">
        <f>IFERROR(VLOOKUP(Carga!P6,'Lista Mercancías'!$A$2:$B$100,2,FALSE),0)</f>
        <v>0</v>
      </c>
      <c r="P6" s="9">
        <f>IFERROR(VLOOKUP(Carga!Q6,'Lista Mercancías'!$A$2:$B$100,2,FALSE),0)</f>
        <v>0</v>
      </c>
      <c r="Q6" s="9">
        <f>IFERROR(VLOOKUP(Carga!R6,'Lista Mercancías'!$A$2:$B$100,2,FALSE),0)</f>
        <v>0</v>
      </c>
      <c r="R6" s="9">
        <f>IFERROR(VLOOKUP(Carga!S6,'Lista Mercancías'!$A$2:$B$100,2,FALSE),0)</f>
        <v>0</v>
      </c>
      <c r="S6" s="9">
        <f>IFERROR(VLOOKUP(Carga!T6,'Lista Mercancías'!$A$2:$B$100,2,FALSE),0)</f>
        <v>0</v>
      </c>
      <c r="T6" s="9">
        <f>IFERROR(VLOOKUP(Carga!U6,'Lista Mercancías'!$A$2:$B$100,2,FALSE),0)</f>
        <v>0</v>
      </c>
      <c r="U6" s="9">
        <f>IFERROR(VLOOKUP(Carga!V6,'Lista Mercancías'!$A$2:$B$100,2,FALSE),0)</f>
        <v>0</v>
      </c>
      <c r="V6" s="9">
        <f>IFERROR(VLOOKUP(Carga!W6,'Lista Mercancías'!$A$2:$B$100,2,FALSE),0)</f>
        <v>0</v>
      </c>
      <c r="W6" s="9">
        <f>IFERROR(VLOOKUP(Carga!X6,'Lista Mercancías'!$A$2:$B$100,2,FALSE),0)</f>
        <v>0</v>
      </c>
      <c r="X6" s="9">
        <f>IFERROR(VLOOKUP(Carga!Y6,'Lista Mercancías'!$A$2:$B$100,2,FALSE),0)</f>
        <v>0</v>
      </c>
      <c r="Y6" s="9">
        <f>IFERROR(VLOOKUP(Carga!Z6,'Lista Mercancías'!$A$2:$B$100,2,FALSE),0)</f>
        <v>0</v>
      </c>
      <c r="Z6" s="9">
        <f>IFERROR(VLOOKUP(Carga!AA6,'Lista Mercancías'!$A$2:$B$100,2,FALSE),0)</f>
        <v>0</v>
      </c>
      <c r="AA6" s="9">
        <f>IFERROR(VLOOKUP(Carga!AB6,'Lista Mercancías'!$A$2:$B$100,2,FALSE),0)</f>
        <v>0</v>
      </c>
      <c r="AB6" s="9">
        <f>IFERROR(VLOOKUP(Carga!AC6,'Lista Mercancías'!$A$2:$B$100,2,FALSE),0)</f>
        <v>0</v>
      </c>
      <c r="AC6" s="9">
        <f>IFERROR(VLOOKUP(Carga!AH6,'Lista Mercancías'!$A$2:$B$100,2,FALSE),0)</f>
        <v>0</v>
      </c>
      <c r="AD6" s="9">
        <f>IFERROR(VLOOKUP(Carga!AI6,'Lista Mercancías'!$A$2:$B$100,2,FALSE),0)</f>
        <v>0</v>
      </c>
      <c r="AE6" s="9">
        <f>IFERROR(VLOOKUP(Carga!AJ6,'Lista Mercancías'!$A$2:$B$100,2,FALSE),0)</f>
        <v>0</v>
      </c>
      <c r="AF6" s="9">
        <f>IFERROR(VLOOKUP(Carga!AK6,'Lista Mercancías'!$A$2:$B$100,2,FALSE),0)</f>
        <v>0</v>
      </c>
    </row>
    <row r="7">
      <c r="A7" s="9" t="str">
        <f>Caravana!A9</f>
        <v>Prisioneros</v>
      </c>
      <c r="B7" s="9">
        <f t="shared" si="2"/>
        <v>0</v>
      </c>
      <c r="C7" s="9">
        <f>IFERROR(VLOOKUP(Carga!D7,'Lista Mercancías'!$A$2:$B$100,2,FALSE),0)</f>
        <v>0</v>
      </c>
      <c r="D7" s="9">
        <f>IFERROR(VLOOKUP(Carga!E7,'Lista Mercancías'!$A$2:$B$100,2,FALSE),0)</f>
        <v>0</v>
      </c>
      <c r="E7" s="9">
        <f>IFERROR(VLOOKUP(Carga!F7,'Lista Mercancías'!$A$2:$B$100,2,FALSE),0)</f>
        <v>0</v>
      </c>
      <c r="F7" s="9">
        <f>IFERROR(VLOOKUP(Carga!G7,'Lista Mercancías'!$A$2:$B$100,2,FALSE),0)</f>
        <v>0</v>
      </c>
      <c r="G7" s="9">
        <f>IFERROR(VLOOKUP(Carga!H7,'Lista Mercancías'!$A$2:$B$100,2,FALSE),0)</f>
        <v>0</v>
      </c>
      <c r="H7" s="9">
        <f>IFERROR(VLOOKUP(Carga!I7,'Lista Mercancías'!$A$2:$B$100,2,FALSE),0)</f>
        <v>0</v>
      </c>
      <c r="I7" s="9">
        <f>IFERROR(VLOOKUP(Carga!J7,'Lista Mercancías'!$A$2:$B$100,2,FALSE),0)</f>
        <v>0</v>
      </c>
      <c r="J7" s="9">
        <f>IFERROR(VLOOKUP(Carga!K7,'Lista Mercancías'!$A$2:$B$100,2,FALSE),0)</f>
        <v>0</v>
      </c>
      <c r="K7" s="9">
        <f>IFERROR(VLOOKUP(Carga!L7,'Lista Mercancías'!$A$2:$B$100,2,FALSE),0)</f>
        <v>0</v>
      </c>
      <c r="L7" s="9">
        <f>IFERROR(VLOOKUP(Carga!M7,'Lista Mercancías'!$A$2:$B$100,2,FALSE),0)</f>
        <v>0</v>
      </c>
      <c r="M7" s="9">
        <f>IFERROR(VLOOKUP(Carga!N7,'Lista Mercancías'!$A$2:$B$100,2,FALSE),0)</f>
        <v>0</v>
      </c>
      <c r="N7" s="9">
        <f>IFERROR(VLOOKUP(Carga!O7,'Lista Mercancías'!$A$2:$B$100,2,FALSE),0)</f>
        <v>0</v>
      </c>
      <c r="O7" s="9">
        <f>IFERROR(VLOOKUP(Carga!P7,'Lista Mercancías'!$A$2:$B$100,2,FALSE),0)</f>
        <v>0</v>
      </c>
      <c r="P7" s="9">
        <f>IFERROR(VLOOKUP(Carga!Q7,'Lista Mercancías'!$A$2:$B$100,2,FALSE),0)</f>
        <v>0</v>
      </c>
      <c r="Q7" s="9">
        <f>IFERROR(VLOOKUP(Carga!R7,'Lista Mercancías'!$A$2:$B$100,2,FALSE),0)</f>
        <v>0</v>
      </c>
      <c r="R7" s="9">
        <f>IFERROR(VLOOKUP(Carga!S7,'Lista Mercancías'!$A$2:$B$100,2,FALSE),0)</f>
        <v>0</v>
      </c>
      <c r="S7" s="9">
        <f>IFERROR(VLOOKUP(Carga!T7,'Lista Mercancías'!$A$2:$B$100,2,FALSE),0)</f>
        <v>0</v>
      </c>
      <c r="T7" s="9">
        <f>IFERROR(VLOOKUP(Carga!U7,'Lista Mercancías'!$A$2:$B$100,2,FALSE),0)</f>
        <v>0</v>
      </c>
      <c r="U7" s="9">
        <f>IFERROR(VLOOKUP(Carga!V7,'Lista Mercancías'!$A$2:$B$100,2,FALSE),0)</f>
        <v>0</v>
      </c>
      <c r="V7" s="9">
        <f>IFERROR(VLOOKUP(Carga!W7,'Lista Mercancías'!$A$2:$B$100,2,FALSE),0)</f>
        <v>0</v>
      </c>
      <c r="W7" s="9">
        <f>IFERROR(VLOOKUP(Carga!X7,'Lista Mercancías'!$A$2:$B$100,2,FALSE),0)</f>
        <v>0</v>
      </c>
      <c r="X7" s="9">
        <f>IFERROR(VLOOKUP(Carga!Y7,'Lista Mercancías'!$A$2:$B$100,2,FALSE),0)</f>
        <v>0</v>
      </c>
      <c r="Y7" s="9">
        <f>IFERROR(VLOOKUP(Carga!Z7,'Lista Mercancías'!$A$2:$B$100,2,FALSE),0)</f>
        <v>0</v>
      </c>
      <c r="Z7" s="9">
        <f>IFERROR(VLOOKUP(Carga!AA7,'Lista Mercancías'!$A$2:$B$100,2,FALSE),0)</f>
        <v>0</v>
      </c>
      <c r="AA7" s="9">
        <f>IFERROR(VLOOKUP(Carga!AB7,'Lista Mercancías'!$A$2:$B$100,2,FALSE),0)</f>
        <v>0</v>
      </c>
      <c r="AB7" s="9">
        <f>IFERROR(VLOOKUP(Carga!AC7,'Lista Mercancías'!$A$2:$B$100,2,FALSE),0)</f>
        <v>0</v>
      </c>
      <c r="AC7" s="9">
        <f>IFERROR(VLOOKUP(Carga!AH7,'Lista Mercancías'!$A$2:$B$100,2,FALSE),0)</f>
        <v>0</v>
      </c>
      <c r="AD7" s="9">
        <f>IFERROR(VLOOKUP(Carga!AI7,'Lista Mercancías'!$A$2:$B$100,2,FALSE),0)</f>
        <v>0</v>
      </c>
      <c r="AE7" s="9">
        <f>IFERROR(VLOOKUP(Carga!AJ7,'Lista Mercancías'!$A$2:$B$100,2,FALSE),0)</f>
        <v>0</v>
      </c>
      <c r="AF7" s="9">
        <f>IFERROR(VLOOKUP(Carga!AK7,'Lista Mercancías'!$A$2:$B$100,2,FALSE),0)</f>
        <v>0</v>
      </c>
    </row>
    <row r="8">
      <c r="A8" s="9" t="str">
        <f>Caravana!A10</f>
        <v>Zoo</v>
      </c>
      <c r="B8" s="9">
        <f t="shared" si="2"/>
        <v>0</v>
      </c>
      <c r="C8" s="9">
        <f>IFERROR(VLOOKUP(Carga!D8,'Lista Mercancías'!$A$2:$B$100,2,FALSE),0)</f>
        <v>0</v>
      </c>
      <c r="D8" s="9">
        <f>IFERROR(VLOOKUP(Carga!E8,'Lista Mercancías'!$A$2:$B$100,2,FALSE),0)</f>
        <v>0</v>
      </c>
      <c r="E8" s="9">
        <f>IFERROR(VLOOKUP(Carga!F8,'Lista Mercancías'!$A$2:$B$100,2,FALSE),0)</f>
        <v>0</v>
      </c>
      <c r="F8" s="9">
        <f>IFERROR(VLOOKUP(Carga!G8,'Lista Mercancías'!$A$2:$B$100,2,FALSE),0)</f>
        <v>0</v>
      </c>
      <c r="G8" s="9">
        <f>IFERROR(VLOOKUP(Carga!H8,'Lista Mercancías'!$A$2:$B$100,2,FALSE),0)</f>
        <v>0</v>
      </c>
      <c r="H8" s="9">
        <f>IFERROR(VLOOKUP(Carga!I8,'Lista Mercancías'!$A$2:$B$100,2,FALSE),0)</f>
        <v>0</v>
      </c>
      <c r="I8" s="9">
        <f>IFERROR(VLOOKUP(Carga!J8,'Lista Mercancías'!$A$2:$B$100,2,FALSE),0)</f>
        <v>0</v>
      </c>
      <c r="J8" s="9">
        <f>IFERROR(VLOOKUP(Carga!K8,'Lista Mercancías'!$A$2:$B$100,2,FALSE),0)</f>
        <v>0</v>
      </c>
      <c r="K8" s="9">
        <f>IFERROR(VLOOKUP(Carga!L8,'Lista Mercancías'!$A$2:$B$100,2,FALSE),0)</f>
        <v>0</v>
      </c>
      <c r="L8" s="9">
        <f>IFERROR(VLOOKUP(Carga!M8,'Lista Mercancías'!$A$2:$B$100,2,FALSE),0)</f>
        <v>0</v>
      </c>
      <c r="M8" s="9">
        <f>IFERROR(VLOOKUP(Carga!N8,'Lista Mercancías'!$A$2:$B$100,2,FALSE),0)</f>
        <v>0</v>
      </c>
      <c r="N8" s="9">
        <f>IFERROR(VLOOKUP(Carga!O8,'Lista Mercancías'!$A$2:$B$100,2,FALSE),0)</f>
        <v>0</v>
      </c>
      <c r="O8" s="9">
        <f>IFERROR(VLOOKUP(Carga!P8,'Lista Mercancías'!$A$2:$B$100,2,FALSE),0)</f>
        <v>0</v>
      </c>
      <c r="P8" s="9">
        <f>IFERROR(VLOOKUP(Carga!Q8,'Lista Mercancías'!$A$2:$B$100,2,FALSE),0)</f>
        <v>0</v>
      </c>
      <c r="Q8" s="9">
        <f>IFERROR(VLOOKUP(Carga!R8,'Lista Mercancías'!$A$2:$B$100,2,FALSE),0)</f>
        <v>0</v>
      </c>
      <c r="R8" s="9">
        <f>IFERROR(VLOOKUP(Carga!S8,'Lista Mercancías'!$A$2:$B$100,2,FALSE),0)</f>
        <v>0</v>
      </c>
      <c r="S8" s="9">
        <f>IFERROR(VLOOKUP(Carga!T8,'Lista Mercancías'!$A$2:$B$100,2,FALSE),0)</f>
        <v>0</v>
      </c>
      <c r="T8" s="9">
        <f>IFERROR(VLOOKUP(Carga!U8,'Lista Mercancías'!$A$2:$B$100,2,FALSE),0)</f>
        <v>0</v>
      </c>
      <c r="U8" s="9">
        <f>IFERROR(VLOOKUP(Carga!V8,'Lista Mercancías'!$A$2:$B$100,2,FALSE),0)</f>
        <v>0</v>
      </c>
      <c r="V8" s="9">
        <f>IFERROR(VLOOKUP(Carga!W8,'Lista Mercancías'!$A$2:$B$100,2,FALSE),0)</f>
        <v>0</v>
      </c>
      <c r="W8" s="9">
        <f>IFERROR(VLOOKUP(Carga!X8,'Lista Mercancías'!$A$2:$B$100,2,FALSE),0)</f>
        <v>0</v>
      </c>
      <c r="X8" s="9">
        <f>IFERROR(VLOOKUP(Carga!Y8,'Lista Mercancías'!$A$2:$B$100,2,FALSE),0)</f>
        <v>0</v>
      </c>
      <c r="Y8" s="9">
        <f>IFERROR(VLOOKUP(Carga!Z8,'Lista Mercancías'!$A$2:$B$100,2,FALSE),0)</f>
        <v>0</v>
      </c>
      <c r="Z8" s="9">
        <f>IFERROR(VLOOKUP(Carga!AA8,'Lista Mercancías'!$A$2:$B$100,2,FALSE),0)</f>
        <v>0</v>
      </c>
      <c r="AA8" s="9">
        <f>IFERROR(VLOOKUP(Carga!AB8,'Lista Mercancías'!$A$2:$B$100,2,FALSE),0)</f>
        <v>0</v>
      </c>
      <c r="AB8" s="9">
        <f>IFERROR(VLOOKUP(Carga!AC8,'Lista Mercancías'!$A$2:$B$100,2,FALSE),0)</f>
        <v>0</v>
      </c>
      <c r="AC8" s="9">
        <f>IFERROR(VLOOKUP(Carga!AH8,'Lista Mercancías'!$A$2:$B$100,2,FALSE),0)</f>
        <v>0</v>
      </c>
      <c r="AD8" s="9">
        <f>IFERROR(VLOOKUP(Carga!AI8,'Lista Mercancías'!$A$2:$B$100,2,FALSE),0)</f>
        <v>0</v>
      </c>
      <c r="AE8" s="9">
        <f>IFERROR(VLOOKUP(Carga!AJ8,'Lista Mercancías'!$A$2:$B$100,2,FALSE),0)</f>
        <v>0</v>
      </c>
      <c r="AF8" s="9">
        <f>IFERROR(VLOOKUP(Carga!AK8,'Lista Mercancías'!$A$2:$B$100,2,FALSE),0)</f>
        <v>0</v>
      </c>
    </row>
    <row r="9">
      <c r="A9" s="9" t="str">
        <f>Caravana!A11</f>
        <v>Familias Kalsgard</v>
      </c>
      <c r="B9" s="9">
        <f t="shared" si="2"/>
        <v>0</v>
      </c>
      <c r="C9" s="9">
        <f>IFERROR(VLOOKUP(Carga!D9,'Lista Mercancías'!$A$2:$B$100,2,FALSE),0)</f>
        <v>0</v>
      </c>
      <c r="D9" s="9">
        <f>IFERROR(VLOOKUP(Carga!E9,'Lista Mercancías'!$A$2:$B$100,2,FALSE),0)</f>
        <v>0</v>
      </c>
      <c r="E9" s="9">
        <f>IFERROR(VLOOKUP(Carga!F9,'Lista Mercancías'!$A$2:$B$100,2,FALSE),0)</f>
        <v>0</v>
      </c>
      <c r="F9" s="9">
        <f>IFERROR(VLOOKUP(Carga!G9,'Lista Mercancías'!$A$2:$B$100,2,FALSE),0)</f>
        <v>0</v>
      </c>
      <c r="G9" s="9">
        <f>IFERROR(VLOOKUP(Carga!H9,'Lista Mercancías'!$A$2:$B$100,2,FALSE),0)</f>
        <v>0</v>
      </c>
      <c r="H9" s="9">
        <f>IFERROR(VLOOKUP(Carga!I9,'Lista Mercancías'!$A$2:$B$100,2,FALSE),0)</f>
        <v>0</v>
      </c>
      <c r="I9" s="9">
        <f>IFERROR(VLOOKUP(Carga!J9,'Lista Mercancías'!$A$2:$B$100,2,FALSE),0)</f>
        <v>0</v>
      </c>
      <c r="J9" s="9">
        <f>IFERROR(VLOOKUP(Carga!K9,'Lista Mercancías'!$A$2:$B$100,2,FALSE),0)</f>
        <v>0</v>
      </c>
      <c r="K9" s="9">
        <f>IFERROR(VLOOKUP(Carga!L9,'Lista Mercancías'!$A$2:$B$100,2,FALSE),0)</f>
        <v>0</v>
      </c>
      <c r="L9" s="9">
        <f>IFERROR(VLOOKUP(Carga!M9,'Lista Mercancías'!$A$2:$B$100,2,FALSE),0)</f>
        <v>0</v>
      </c>
      <c r="M9" s="9">
        <f>IFERROR(VLOOKUP(Carga!N9,'Lista Mercancías'!$A$2:$B$100,2,FALSE),0)</f>
        <v>0</v>
      </c>
      <c r="N9" s="9">
        <f>IFERROR(VLOOKUP(Carga!O9,'Lista Mercancías'!$A$2:$B$100,2,FALSE),0)</f>
        <v>0</v>
      </c>
      <c r="O9" s="9">
        <f>IFERROR(VLOOKUP(Carga!P9,'Lista Mercancías'!$A$2:$B$100,2,FALSE),0)</f>
        <v>0</v>
      </c>
      <c r="P9" s="9">
        <f>IFERROR(VLOOKUP(Carga!Q9,'Lista Mercancías'!$A$2:$B$100,2,FALSE),0)</f>
        <v>0</v>
      </c>
      <c r="Q9" s="9">
        <f>IFERROR(VLOOKUP(Carga!R9,'Lista Mercancías'!$A$2:$B$100,2,FALSE),0)</f>
        <v>0</v>
      </c>
      <c r="R9" s="9">
        <f>IFERROR(VLOOKUP(Carga!S9,'Lista Mercancías'!$A$2:$B$100,2,FALSE),0)</f>
        <v>0</v>
      </c>
      <c r="S9" s="9">
        <f>IFERROR(VLOOKUP(Carga!T9,'Lista Mercancías'!$A$2:$B$100,2,FALSE),0)</f>
        <v>0</v>
      </c>
      <c r="T9" s="9">
        <f>IFERROR(VLOOKUP(Carga!U9,'Lista Mercancías'!$A$2:$B$100,2,FALSE),0)</f>
        <v>0</v>
      </c>
      <c r="U9" s="9">
        <f>IFERROR(VLOOKUP(Carga!V9,'Lista Mercancías'!$A$2:$B$100,2,FALSE),0)</f>
        <v>0</v>
      </c>
      <c r="V9" s="9">
        <f>IFERROR(VLOOKUP(Carga!W9,'Lista Mercancías'!$A$2:$B$100,2,FALSE),0)</f>
        <v>0</v>
      </c>
      <c r="W9" s="9">
        <f>IFERROR(VLOOKUP(Carga!X9,'Lista Mercancías'!$A$2:$B$100,2,FALSE),0)</f>
        <v>0</v>
      </c>
      <c r="X9" s="9">
        <f>IFERROR(VLOOKUP(Carga!Y9,'Lista Mercancías'!$A$2:$B$100,2,FALSE),0)</f>
        <v>0</v>
      </c>
      <c r="Y9" s="9">
        <f>IFERROR(VLOOKUP(Carga!Z9,'Lista Mercancías'!$A$2:$B$100,2,FALSE),0)</f>
        <v>0</v>
      </c>
      <c r="Z9" s="9">
        <f>IFERROR(VLOOKUP(Carga!AA9,'Lista Mercancías'!$A$2:$B$100,2,FALSE),0)</f>
        <v>0</v>
      </c>
      <c r="AA9" s="9">
        <f>IFERROR(VLOOKUP(Carga!AB9,'Lista Mercancías'!$A$2:$B$100,2,FALSE),0)</f>
        <v>0</v>
      </c>
      <c r="AB9" s="9">
        <f>IFERROR(VLOOKUP(Carga!AC9,'Lista Mercancías'!$A$2:$B$100,2,FALSE),0)</f>
        <v>0</v>
      </c>
      <c r="AC9" s="9">
        <f>IFERROR(VLOOKUP(Carga!AH9,'Lista Mercancías'!$A$2:$B$100,2,FALSE),0)</f>
        <v>0</v>
      </c>
      <c r="AD9" s="9">
        <f>IFERROR(VLOOKUP(Carga!AI9,'Lista Mercancías'!$A$2:$B$100,2,FALSE),0)</f>
        <v>0</v>
      </c>
      <c r="AE9" s="9">
        <f>IFERROR(VLOOKUP(Carga!AJ9,'Lista Mercancías'!$A$2:$B$100,2,FALSE),0)</f>
        <v>0</v>
      </c>
      <c r="AF9" s="9">
        <f>IFERROR(VLOOKUP(Carga!AK9,'Lista Mercancías'!$A$2:$B$100,2,FALSE),0)</f>
        <v>0</v>
      </c>
    </row>
    <row r="10">
      <c r="A10" s="9" t="str">
        <f>Caravana!A12</f>
        <v>Mercancías Hierro</v>
      </c>
      <c r="B10" s="9">
        <f t="shared" si="2"/>
        <v>12</v>
      </c>
      <c r="C10" s="9">
        <f>IFERROR(VLOOKUP(Carga!D10,'Lista Mercancías'!$A$2:$B$100,2,FALSE),0)</f>
        <v>1</v>
      </c>
      <c r="D10" s="9">
        <f>IFERROR(VLOOKUP(Carga!E10,'Lista Mercancías'!$A$2:$B$100,2,FALSE),0)</f>
        <v>1</v>
      </c>
      <c r="E10" s="9">
        <f>IFERROR(VLOOKUP(Carga!F10,'Lista Mercancías'!$A$2:$B$100,2,FALSE),0)</f>
        <v>1</v>
      </c>
      <c r="F10" s="9">
        <f>IFERROR(VLOOKUP(Carga!G10,'Lista Mercancías'!$A$2:$B$100,2,FALSE),0)</f>
        <v>1</v>
      </c>
      <c r="G10" s="9">
        <f>IFERROR(VLOOKUP(Carga!H10,'Lista Mercancías'!$A$2:$B$100,2,FALSE),0)</f>
        <v>1</v>
      </c>
      <c r="H10" s="9">
        <f>IFERROR(VLOOKUP(Carga!I10,'Lista Mercancías'!$A$2:$B$100,2,FALSE),0)</f>
        <v>1</v>
      </c>
      <c r="I10" s="9">
        <f>IFERROR(VLOOKUP(Carga!J10,'Lista Mercancías'!$A$2:$B$100,2,FALSE),0)</f>
        <v>1</v>
      </c>
      <c r="J10" s="9">
        <f>IFERROR(VLOOKUP(Carga!K10,'Lista Mercancías'!$A$2:$B$100,2,FALSE),0)</f>
        <v>1</v>
      </c>
      <c r="K10" s="9">
        <f>IFERROR(VLOOKUP(Carga!L10,'Lista Mercancías'!$A$2:$B$100,2,FALSE),0)</f>
        <v>1</v>
      </c>
      <c r="L10" s="9">
        <f>IFERROR(VLOOKUP(Carga!M10,'Lista Mercancías'!$A$2:$B$100,2,FALSE),0)</f>
        <v>1</v>
      </c>
      <c r="M10" s="9">
        <f>IFERROR(VLOOKUP(Carga!N10,'Lista Mercancías'!$A$2:$B$100,2,FALSE),0)</f>
        <v>0</v>
      </c>
      <c r="N10" s="9">
        <f>IFERROR(VLOOKUP(Carga!O10,'Lista Mercancías'!$A$2:$B$100,2,FALSE),0)</f>
        <v>1</v>
      </c>
      <c r="O10" s="9">
        <f>IFERROR(VLOOKUP(Carga!P10,'Lista Mercancías'!$A$2:$B$100,2,FALSE),0)</f>
        <v>1</v>
      </c>
      <c r="P10" s="9">
        <f>IFERROR(VLOOKUP(Carga!Q10,'Lista Mercancías'!$A$2:$B$100,2,FALSE),0)</f>
        <v>0</v>
      </c>
      <c r="Q10" s="9">
        <f>IFERROR(VLOOKUP(Carga!R10,'Lista Mercancías'!$A$2:$B$100,2,FALSE),0)</f>
        <v>0</v>
      </c>
      <c r="R10" s="9">
        <f>IFERROR(VLOOKUP(Carga!S10,'Lista Mercancías'!$A$2:$B$100,2,FALSE),0)</f>
        <v>0</v>
      </c>
      <c r="S10" s="9">
        <f>IFERROR(VLOOKUP(Carga!T10,'Lista Mercancías'!$A$2:$B$100,2,FALSE),0)</f>
        <v>0</v>
      </c>
      <c r="T10" s="9">
        <f>IFERROR(VLOOKUP(Carga!U10,'Lista Mercancías'!$A$2:$B$100,2,FALSE),0)</f>
        <v>0</v>
      </c>
      <c r="U10" s="9">
        <f>IFERROR(VLOOKUP(Carga!V10,'Lista Mercancías'!$A$2:$B$100,2,FALSE),0)</f>
        <v>0</v>
      </c>
      <c r="V10" s="9">
        <f>IFERROR(VLOOKUP(Carga!W10,'Lista Mercancías'!$A$2:$B$100,2,FALSE),0)</f>
        <v>0</v>
      </c>
      <c r="W10" s="9">
        <f>IFERROR(VLOOKUP(Carga!X10,'Lista Mercancías'!$A$2:$B$100,2,FALSE),0)</f>
        <v>0</v>
      </c>
      <c r="X10" s="9">
        <f>IFERROR(VLOOKUP(Carga!Y10,'Lista Mercancías'!$A$2:$B$100,2,FALSE),0)</f>
        <v>0</v>
      </c>
      <c r="Y10" s="9">
        <f>IFERROR(VLOOKUP(Carga!Z10,'Lista Mercancías'!$A$2:$B$100,2,FALSE),0)</f>
        <v>0</v>
      </c>
      <c r="Z10" s="9">
        <f>IFERROR(VLOOKUP(Carga!AA10,'Lista Mercancías'!$A$2:$B$100,2,FALSE),0)</f>
        <v>0</v>
      </c>
      <c r="AA10" s="9">
        <f>IFERROR(VLOOKUP(Carga!AB10,'Lista Mercancías'!$A$2:$B$100,2,FALSE),0)</f>
        <v>0</v>
      </c>
      <c r="AB10" s="9">
        <f>IFERROR(VLOOKUP(Carga!AC10,'Lista Mercancías'!$A$2:$B$100,2,FALSE),0)</f>
        <v>0</v>
      </c>
      <c r="AC10" s="9">
        <f>IFERROR(VLOOKUP(Carga!AH10,'Lista Mercancías'!$A$2:$B$100,2,FALSE),0)</f>
        <v>0</v>
      </c>
      <c r="AD10" s="9">
        <f>IFERROR(VLOOKUP(Carga!AI10,'Lista Mercancías'!$A$2:$B$100,2,FALSE),0)</f>
        <v>0</v>
      </c>
      <c r="AE10" s="9">
        <f>IFERROR(VLOOKUP(Carga!AJ10,'Lista Mercancías'!$A$2:$B$100,2,FALSE),0)</f>
        <v>0</v>
      </c>
      <c r="AF10" s="9">
        <f>IFERROR(VLOOKUP(Carga!AK10,'Lista Mercancías'!$A$2:$B$100,2,FALSE),0)</f>
        <v>0</v>
      </c>
    </row>
    <row r="11">
      <c r="A11" s="9" t="str">
        <f>Caravana!A13</f>
        <v>Mercancías General</v>
      </c>
      <c r="B11" s="9">
        <f t="shared" si="2"/>
        <v>13</v>
      </c>
      <c r="C11" s="9">
        <f>IFERROR(VLOOKUP(Carga!D11,'Lista Mercancías'!$A$2:$B$100,2,FALSE),0)</f>
        <v>1</v>
      </c>
      <c r="D11" s="9">
        <f>IFERROR(VLOOKUP(Carga!E11,'Lista Mercancías'!$A$2:$B$100,2,FALSE),0)</f>
        <v>1</v>
      </c>
      <c r="E11" s="9">
        <f>IFERROR(VLOOKUP(Carga!F11,'Lista Mercancías'!$A$2:$B$100,2,FALSE),0)</f>
        <v>1</v>
      </c>
      <c r="F11" s="9">
        <f>IFERROR(VLOOKUP(Carga!G11,'Lista Mercancías'!$A$2:$B$100,2,FALSE),0)</f>
        <v>1</v>
      </c>
      <c r="G11" s="9">
        <f>IFERROR(VLOOKUP(Carga!H11,'Lista Mercancías'!$A$2:$B$100,2,FALSE),0)</f>
        <v>1</v>
      </c>
      <c r="H11" s="9">
        <f>IFERROR(VLOOKUP(Carga!I11,'Lista Mercancías'!$A$2:$B$100,2,FALSE),0)</f>
        <v>1</v>
      </c>
      <c r="I11" s="9">
        <f>IFERROR(VLOOKUP(Carga!J11,'Lista Mercancías'!$A$2:$B$100,2,FALSE),0)</f>
        <v>1</v>
      </c>
      <c r="J11" s="9">
        <f>IFERROR(VLOOKUP(Carga!K11,'Lista Mercancías'!$A$2:$B$100,2,FALSE),0)</f>
        <v>1</v>
      </c>
      <c r="K11" s="9">
        <f>IFERROR(VLOOKUP(Carga!L11,'Lista Mercancías'!$A$2:$B$100,2,FALSE),0)</f>
        <v>1</v>
      </c>
      <c r="L11" s="9">
        <f>IFERROR(VLOOKUP(Carga!M11,'Lista Mercancías'!$A$2:$B$100,2,FALSE),0)</f>
        <v>1</v>
      </c>
      <c r="M11" s="9">
        <f>IFERROR(VLOOKUP(Carga!N11,'Lista Mercancías'!$A$2:$B$100,2,FALSE),0)</f>
        <v>1</v>
      </c>
      <c r="N11" s="9">
        <f>IFERROR(VLOOKUP(Carga!O11,'Lista Mercancías'!$A$2:$B$100,2,FALSE),0)</f>
        <v>1</v>
      </c>
      <c r="O11" s="9">
        <f>IFERROR(VLOOKUP(Carga!P11,'Lista Mercancías'!$A$2:$B$100,2,FALSE),0)</f>
        <v>1</v>
      </c>
      <c r="P11" s="9">
        <f>IFERROR(VLOOKUP(Carga!Q11,'Lista Mercancías'!$A$2:$B$100,2,FALSE),0)</f>
        <v>0</v>
      </c>
      <c r="Q11" s="9">
        <f>IFERROR(VLOOKUP(Carga!R11,'Lista Mercancías'!$A$2:$B$100,2,FALSE),0)</f>
        <v>0</v>
      </c>
      <c r="R11" s="9">
        <f>IFERROR(VLOOKUP(Carga!S11,'Lista Mercancías'!$A$2:$B$100,2,FALSE),0)</f>
        <v>0</v>
      </c>
      <c r="S11" s="9">
        <f>IFERROR(VLOOKUP(Carga!T11,'Lista Mercancías'!$A$2:$B$100,2,FALSE),0)</f>
        <v>0</v>
      </c>
      <c r="T11" s="9">
        <f>IFERROR(VLOOKUP(Carga!U11,'Lista Mercancías'!$A$2:$B$100,2,FALSE),0)</f>
        <v>0</v>
      </c>
      <c r="U11" s="9">
        <f>IFERROR(VLOOKUP(Carga!V11,'Lista Mercancías'!$A$2:$B$100,2,FALSE),0)</f>
        <v>0</v>
      </c>
      <c r="V11" s="9">
        <f>IFERROR(VLOOKUP(Carga!W11,'Lista Mercancías'!$A$2:$B$100,2,FALSE),0)</f>
        <v>0</v>
      </c>
      <c r="W11" s="9">
        <f>IFERROR(VLOOKUP(Carga!X11,'Lista Mercancías'!$A$2:$B$100,2,FALSE),0)</f>
        <v>0</v>
      </c>
      <c r="X11" s="9">
        <f>IFERROR(VLOOKUP(Carga!Y11,'Lista Mercancías'!$A$2:$B$100,2,FALSE),0)</f>
        <v>0</v>
      </c>
      <c r="Y11" s="9">
        <f>IFERROR(VLOOKUP(Carga!Z11,'Lista Mercancías'!$A$2:$B$100,2,FALSE),0)</f>
        <v>0</v>
      </c>
      <c r="Z11" s="9">
        <f>IFERROR(VLOOKUP(Carga!AA11,'Lista Mercancías'!$A$2:$B$100,2,FALSE),0)</f>
        <v>0</v>
      </c>
      <c r="AA11" s="9">
        <f>IFERROR(VLOOKUP(Carga!AB11,'Lista Mercancías'!$A$2:$B$100,2,FALSE),0)</f>
        <v>0</v>
      </c>
      <c r="AB11" s="9">
        <f>IFERROR(VLOOKUP(Carga!AC11,'Lista Mercancías'!$A$2:$B$100,2,FALSE),0)</f>
        <v>0</v>
      </c>
      <c r="AC11" s="9">
        <f>IFERROR(VLOOKUP(Carga!AH11,'Lista Mercancías'!$A$2:$B$100,2,FALSE),0)</f>
        <v>0</v>
      </c>
      <c r="AD11" s="9">
        <f>IFERROR(VLOOKUP(Carga!AI11,'Lista Mercancías'!$A$2:$B$100,2,FALSE),0)</f>
        <v>0</v>
      </c>
      <c r="AE11" s="9">
        <f>IFERROR(VLOOKUP(Carga!AJ11,'Lista Mercancías'!$A$2:$B$100,2,FALSE),0)</f>
        <v>0</v>
      </c>
      <c r="AF11" s="9">
        <f>IFERROR(VLOOKUP(Carga!AK11,'Lista Mercancías'!$A$2:$B$100,2,FALSE),0)</f>
        <v>0</v>
      </c>
    </row>
    <row r="12">
      <c r="A12" s="9" t="str">
        <f>Caravana!A14</f>
        <v>Mercancías Punta Arena</v>
      </c>
      <c r="B12" s="9">
        <f t="shared" si="2"/>
        <v>13</v>
      </c>
      <c r="C12" s="9">
        <f>IFERROR(VLOOKUP(Carga!D12,'Lista Mercancías'!$A$2:$B$100,2,FALSE),0)</f>
        <v>1</v>
      </c>
      <c r="D12" s="9">
        <f>IFERROR(VLOOKUP(Carga!E12,'Lista Mercancías'!$A$2:$B$100,2,FALSE),0)</f>
        <v>1</v>
      </c>
      <c r="E12" s="9">
        <f>IFERROR(VLOOKUP(Carga!F12,'Lista Mercancías'!$A$2:$B$100,2,FALSE),0)</f>
        <v>1</v>
      </c>
      <c r="F12" s="9">
        <f>IFERROR(VLOOKUP(Carga!G12,'Lista Mercancías'!$A$2:$B$100,2,FALSE),0)</f>
        <v>1</v>
      </c>
      <c r="G12" s="9">
        <f>IFERROR(VLOOKUP(Carga!H12,'Lista Mercancías'!$A$2:$B$100,2,FALSE),0)</f>
        <v>1</v>
      </c>
      <c r="H12" s="9">
        <f>IFERROR(VLOOKUP(Carga!I12,'Lista Mercancías'!$A$2:$B$100,2,FALSE),0)</f>
        <v>1</v>
      </c>
      <c r="I12" s="9">
        <f>IFERROR(VLOOKUP(Carga!J12,'Lista Mercancías'!$A$2:$B$100,2,FALSE),0)</f>
        <v>1</v>
      </c>
      <c r="J12" s="9">
        <f>IFERROR(VLOOKUP(Carga!K12,'Lista Mercancías'!$A$2:$B$100,2,FALSE),0)</f>
        <v>1</v>
      </c>
      <c r="K12" s="9">
        <f>IFERROR(VLOOKUP(Carga!L12,'Lista Mercancías'!$A$2:$B$100,2,FALSE),0)</f>
        <v>1</v>
      </c>
      <c r="L12" s="9">
        <f>IFERROR(VLOOKUP(Carga!M12,'Lista Mercancías'!$A$2:$B$100,2,FALSE),0)</f>
        <v>1</v>
      </c>
      <c r="M12" s="9">
        <f>IFERROR(VLOOKUP(Carga!N12,'Lista Mercancías'!$A$2:$B$100,2,FALSE),0)</f>
        <v>1</v>
      </c>
      <c r="N12" s="9">
        <f>IFERROR(VLOOKUP(Carga!O12,'Lista Mercancías'!$A$2:$B$100,2,FALSE),0)</f>
        <v>1</v>
      </c>
      <c r="O12" s="9">
        <f>IFERROR(VLOOKUP(Carga!P12,'Lista Mercancías'!$A$2:$B$100,2,FALSE),0)</f>
        <v>1</v>
      </c>
      <c r="P12" s="9">
        <f>IFERROR(VLOOKUP(Carga!Q12,'Lista Mercancías'!$A$2:$B$100,2,FALSE),0)</f>
        <v>0</v>
      </c>
      <c r="Q12" s="9">
        <f>IFERROR(VLOOKUP(Carga!R12,'Lista Mercancías'!$A$2:$B$100,2,FALSE),0)</f>
        <v>0</v>
      </c>
      <c r="R12" s="9">
        <f>IFERROR(VLOOKUP(Carga!S12,'Lista Mercancías'!$A$2:$B$100,2,FALSE),0)</f>
        <v>0</v>
      </c>
      <c r="S12" s="9">
        <f>IFERROR(VLOOKUP(Carga!T12,'Lista Mercancías'!$A$2:$B$100,2,FALSE),0)</f>
        <v>0</v>
      </c>
      <c r="T12" s="9">
        <f>IFERROR(VLOOKUP(Carga!U12,'Lista Mercancías'!$A$2:$B$100,2,FALSE),0)</f>
        <v>0</v>
      </c>
      <c r="U12" s="9">
        <f>IFERROR(VLOOKUP(Carga!V12,'Lista Mercancías'!$A$2:$B$100,2,FALSE),0)</f>
        <v>0</v>
      </c>
      <c r="V12" s="9">
        <f>IFERROR(VLOOKUP(Carga!W12,'Lista Mercancías'!$A$2:$B$100,2,FALSE),0)</f>
        <v>0</v>
      </c>
      <c r="W12" s="9">
        <f>IFERROR(VLOOKUP(Carga!X12,'Lista Mercancías'!$A$2:$B$100,2,FALSE),0)</f>
        <v>0</v>
      </c>
      <c r="X12" s="9">
        <f>IFERROR(VLOOKUP(Carga!Y12,'Lista Mercancías'!$A$2:$B$100,2,FALSE),0)</f>
        <v>0</v>
      </c>
      <c r="Y12" s="9">
        <f>IFERROR(VLOOKUP(Carga!Z12,'Lista Mercancías'!$A$2:$B$100,2,FALSE),0)</f>
        <v>0</v>
      </c>
      <c r="Z12" s="9">
        <f>IFERROR(VLOOKUP(Carga!AA12,'Lista Mercancías'!$A$2:$B$100,2,FALSE),0)</f>
        <v>0</v>
      </c>
      <c r="AA12" s="9">
        <f>IFERROR(VLOOKUP(Carga!AB12,'Lista Mercancías'!$A$2:$B$100,2,FALSE),0)</f>
        <v>0</v>
      </c>
      <c r="AB12" s="9">
        <f>IFERROR(VLOOKUP(Carga!AC12,'Lista Mercancías'!$A$2:$B$100,2,FALSE),0)</f>
        <v>0</v>
      </c>
      <c r="AC12" s="9">
        <f>IFERROR(VLOOKUP(Carga!AH12,'Lista Mercancías'!$A$2:$B$100,2,FALSE),0)</f>
        <v>0</v>
      </c>
      <c r="AD12" s="9">
        <f>IFERROR(VLOOKUP(Carga!AI12,'Lista Mercancías'!$A$2:$B$100,2,FALSE),0)</f>
        <v>0</v>
      </c>
      <c r="AE12" s="9">
        <f>IFERROR(VLOOKUP(Carga!AJ12,'Lista Mercancías'!$A$2:$B$100,2,FALSE),0)</f>
        <v>0</v>
      </c>
      <c r="AF12" s="9">
        <f>IFERROR(VLOOKUP(Carga!AK12,'Lista Mercancías'!$A$2:$B$100,2,FALSE),0)</f>
        <v>0</v>
      </c>
    </row>
    <row r="13">
      <c r="A13" s="9" t="str">
        <f>Caravana!A15</f>
        <v>Mercancías Kalsgard</v>
      </c>
      <c r="B13" s="9">
        <f t="shared" si="2"/>
        <v>26</v>
      </c>
      <c r="C13" s="9">
        <f>IFERROR(VLOOKUP(Carga!D13,'Lista Mercancías'!$A$2:$B$100,2,FALSE),0)</f>
        <v>1</v>
      </c>
      <c r="D13" s="9">
        <f>IFERROR(VLOOKUP(Carga!E13,'Lista Mercancías'!$A$2:$B$100,2,FALSE),0)</f>
        <v>1</v>
      </c>
      <c r="E13" s="9">
        <f>IFERROR(VLOOKUP(Carga!F13,'Lista Mercancías'!$A$2:$B$100,2,FALSE),0)</f>
        <v>1</v>
      </c>
      <c r="F13" s="9">
        <f>IFERROR(VLOOKUP(Carga!G13,'Lista Mercancías'!$A$2:$B$100,2,FALSE),0)</f>
        <v>1</v>
      </c>
      <c r="G13" s="9">
        <f>IFERROR(VLOOKUP(Carga!H13,'Lista Mercancías'!$A$2:$B$100,2,FALSE),0)</f>
        <v>1</v>
      </c>
      <c r="H13" s="9">
        <f>IFERROR(VLOOKUP(Carga!I13,'Lista Mercancías'!$A$2:$B$100,2,FALSE),0)</f>
        <v>1</v>
      </c>
      <c r="I13" s="9">
        <f>IFERROR(VLOOKUP(Carga!J13,'Lista Mercancías'!$A$2:$B$100,2,FALSE),0)</f>
        <v>1</v>
      </c>
      <c r="J13" s="9">
        <f>IFERROR(VLOOKUP(Carga!K13,'Lista Mercancías'!$A$2:$B$100,2,FALSE),0)</f>
        <v>1</v>
      </c>
      <c r="K13" s="9">
        <f>IFERROR(VLOOKUP(Carga!L13,'Lista Mercancías'!$A$2:$B$100,2,FALSE),0)</f>
        <v>1</v>
      </c>
      <c r="L13" s="9">
        <f>IFERROR(VLOOKUP(Carga!M13,'Lista Mercancías'!$A$2:$B$100,2,FALSE),0)</f>
        <v>1</v>
      </c>
      <c r="M13" s="9">
        <f>IFERROR(VLOOKUP(Carga!N13,'Lista Mercancías'!$A$2:$B$100,2,FALSE),0)</f>
        <v>1</v>
      </c>
      <c r="N13" s="9">
        <f>IFERROR(VLOOKUP(Carga!O13,'Lista Mercancías'!$A$2:$B$100,2,FALSE),0)</f>
        <v>1</v>
      </c>
      <c r="O13" s="9">
        <f>IFERROR(VLOOKUP(Carga!P13,'Lista Mercancías'!$A$2:$B$100,2,FALSE),0)</f>
        <v>1</v>
      </c>
      <c r="P13" s="9">
        <f>IFERROR(VLOOKUP(Carga!Q13,'Lista Mercancías'!$A$2:$B$100,2,FALSE),0)</f>
        <v>1</v>
      </c>
      <c r="Q13" s="9">
        <f>IFERROR(VLOOKUP(Carga!R13,'Lista Mercancías'!$A$2:$B$100,2,FALSE),0)</f>
        <v>1</v>
      </c>
      <c r="R13" s="9">
        <f>IFERROR(VLOOKUP(Carga!S13,'Lista Mercancías'!$A$2:$B$100,2,FALSE),0)</f>
        <v>1</v>
      </c>
      <c r="S13" s="9">
        <f>IFERROR(VLOOKUP(Carga!T13,'Lista Mercancías'!$A$2:$B$100,2,FALSE),0)</f>
        <v>1</v>
      </c>
      <c r="T13" s="9">
        <f>IFERROR(VLOOKUP(Carga!U13,'Lista Mercancías'!$A$2:$B$100,2,FALSE),0)</f>
        <v>1</v>
      </c>
      <c r="U13" s="9">
        <f>IFERROR(VLOOKUP(Carga!V13,'Lista Mercancías'!$A$2:$B$100,2,FALSE),0)</f>
        <v>1</v>
      </c>
      <c r="V13" s="9">
        <f>IFERROR(VLOOKUP(Carga!W13,'Lista Mercancías'!$A$2:$B$100,2,FALSE),0)</f>
        <v>1</v>
      </c>
      <c r="W13" s="9">
        <f>IFERROR(VLOOKUP(Carga!X13,'Lista Mercancías'!$A$2:$B$100,2,FALSE),0)</f>
        <v>1</v>
      </c>
      <c r="X13" s="9">
        <f>IFERROR(VLOOKUP(Carga!Y13,'Lista Mercancías'!$A$2:$B$100,2,FALSE),0)</f>
        <v>1</v>
      </c>
      <c r="Y13" s="9">
        <f>IFERROR(VLOOKUP(Carga!Z13,'Lista Mercancías'!$A$2:$B$100,2,FALSE),0)</f>
        <v>1</v>
      </c>
      <c r="Z13" s="9">
        <f>IFERROR(VLOOKUP(Carga!AA13,'Lista Mercancías'!$A$2:$B$100,2,FALSE),0)</f>
        <v>1</v>
      </c>
      <c r="AA13" s="9">
        <f>IFERROR(VLOOKUP(Carga!AB13,'Lista Mercancías'!$A$2:$B$100,2,FALSE),0)</f>
        <v>1</v>
      </c>
      <c r="AB13" s="9">
        <f>IFERROR(VLOOKUP(Carga!AC13,'Lista Mercancías'!$A$2:$B$100,2,FALSE),0)</f>
        <v>1</v>
      </c>
      <c r="AC13" s="9">
        <f>IFERROR(VLOOKUP(Carga!AH13,'Lista Mercancías'!$A$2:$B$100,2,FALSE),0)</f>
        <v>0</v>
      </c>
      <c r="AD13" s="9">
        <f>IFERROR(VLOOKUP(Carga!AI13,'Lista Mercancías'!$A$2:$B$100,2,FALSE),0)</f>
        <v>0</v>
      </c>
      <c r="AE13" s="9">
        <f>IFERROR(VLOOKUP(Carga!AJ13,'Lista Mercancías'!$A$2:$B$100,2,FALSE),0)</f>
        <v>0</v>
      </c>
      <c r="AF13" s="9">
        <f>IFERROR(VLOOKUP(Carga!AK13,'Lista Mercancías'!$A$2:$B$100,2,FALSE),0)</f>
        <v>0</v>
      </c>
    </row>
    <row r="14">
      <c r="A14" s="9" t="str">
        <f>Caravana!A16</f>
        <v>Carbón</v>
      </c>
      <c r="B14" s="9">
        <f t="shared" si="2"/>
        <v>26</v>
      </c>
      <c r="C14" s="9">
        <f>IFERROR(VLOOKUP(Carga!D14,'Lista Mercancías'!$A$2:$B$100,2,FALSE),0)</f>
        <v>1</v>
      </c>
      <c r="D14" s="9">
        <f>IFERROR(VLOOKUP(Carga!E14,'Lista Mercancías'!$A$2:$B$100,2,FALSE),0)</f>
        <v>1</v>
      </c>
      <c r="E14" s="9">
        <f>IFERROR(VLOOKUP(Carga!F14,'Lista Mercancías'!$A$2:$B$100,2,FALSE),0)</f>
        <v>1</v>
      </c>
      <c r="F14" s="9">
        <f>IFERROR(VLOOKUP(Carga!G14,'Lista Mercancías'!$A$2:$B$100,2,FALSE),0)</f>
        <v>1</v>
      </c>
      <c r="G14" s="9">
        <f>IFERROR(VLOOKUP(Carga!H14,'Lista Mercancías'!$A$2:$B$100,2,FALSE),0)</f>
        <v>1</v>
      </c>
      <c r="H14" s="9">
        <f>IFERROR(VLOOKUP(Carga!I14,'Lista Mercancías'!$A$2:$B$100,2,FALSE),0)</f>
        <v>1</v>
      </c>
      <c r="I14" s="9">
        <f>IFERROR(VLOOKUP(Carga!J14,'Lista Mercancías'!$A$2:$B$100,2,FALSE),0)</f>
        <v>1</v>
      </c>
      <c r="J14" s="9">
        <f>IFERROR(VLOOKUP(Carga!K14,'Lista Mercancías'!$A$2:$B$100,2,FALSE),0)</f>
        <v>1</v>
      </c>
      <c r="K14" s="9">
        <f>IFERROR(VLOOKUP(Carga!L14,'Lista Mercancías'!$A$2:$B$100,2,FALSE),0)</f>
        <v>1</v>
      </c>
      <c r="L14" s="9">
        <f>IFERROR(VLOOKUP(Carga!M14,'Lista Mercancías'!$A$2:$B$100,2,FALSE),0)</f>
        <v>1</v>
      </c>
      <c r="M14" s="9">
        <f>IFERROR(VLOOKUP(Carga!N14,'Lista Mercancías'!$A$2:$B$100,2,FALSE),0)</f>
        <v>1</v>
      </c>
      <c r="N14" s="9">
        <f>IFERROR(VLOOKUP(Carga!O14,'Lista Mercancías'!$A$2:$B$100,2,FALSE),0)</f>
        <v>1</v>
      </c>
      <c r="O14" s="9">
        <f>IFERROR(VLOOKUP(Carga!P14,'Lista Mercancías'!$A$2:$B$100,2,FALSE),0)</f>
        <v>1</v>
      </c>
      <c r="P14" s="9">
        <f>IFERROR(VLOOKUP(Carga!Q14,'Lista Mercancías'!$A$2:$B$100,2,FALSE),0)</f>
        <v>1</v>
      </c>
      <c r="Q14" s="9">
        <f>IFERROR(VLOOKUP(Carga!R14,'Lista Mercancías'!$A$2:$B$100,2,FALSE),0)</f>
        <v>1</v>
      </c>
      <c r="R14" s="9">
        <f>IFERROR(VLOOKUP(Carga!S14,'Lista Mercancías'!$A$2:$B$100,2,FALSE),0)</f>
        <v>1</v>
      </c>
      <c r="S14" s="9">
        <f>IFERROR(VLOOKUP(Carga!T14,'Lista Mercancías'!$A$2:$B$100,2,FALSE),0)</f>
        <v>1</v>
      </c>
      <c r="T14" s="9">
        <f>IFERROR(VLOOKUP(Carga!U14,'Lista Mercancías'!$A$2:$B$100,2,FALSE),0)</f>
        <v>1</v>
      </c>
      <c r="U14" s="9">
        <f>IFERROR(VLOOKUP(Carga!V14,'Lista Mercancías'!$A$2:$B$100,2,FALSE),0)</f>
        <v>1</v>
      </c>
      <c r="V14" s="9">
        <f>IFERROR(VLOOKUP(Carga!W14,'Lista Mercancías'!$A$2:$B$100,2,FALSE),0)</f>
        <v>1</v>
      </c>
      <c r="W14" s="9">
        <f>IFERROR(VLOOKUP(Carga!X14,'Lista Mercancías'!$A$2:$B$100,2,FALSE),0)</f>
        <v>1</v>
      </c>
      <c r="X14" s="9">
        <f>IFERROR(VLOOKUP(Carga!Y14,'Lista Mercancías'!$A$2:$B$100,2,FALSE),0)</f>
        <v>1</v>
      </c>
      <c r="Y14" s="9">
        <f>IFERROR(VLOOKUP(Carga!Z14,'Lista Mercancías'!$A$2:$B$100,2,FALSE),0)</f>
        <v>1</v>
      </c>
      <c r="Z14" s="9">
        <f>IFERROR(VLOOKUP(Carga!AA14,'Lista Mercancías'!$A$2:$B$100,2,FALSE),0)</f>
        <v>1</v>
      </c>
      <c r="AA14" s="9">
        <f>IFERROR(VLOOKUP(Carga!AB14,'Lista Mercancías'!$A$2:$B$100,2,FALSE),0)</f>
        <v>1</v>
      </c>
      <c r="AB14" s="9">
        <f>IFERROR(VLOOKUP(Carga!AC14,'Lista Mercancías'!$A$2:$B$100,2,FALSE),0)</f>
        <v>1</v>
      </c>
      <c r="AC14" s="9">
        <f>IFERROR(VLOOKUP(Carga!AH14,'Lista Mercancías'!$A$2:$B$100,2,FALSE),0)</f>
        <v>0</v>
      </c>
      <c r="AD14" s="9">
        <f>IFERROR(VLOOKUP(Carga!AI14,'Lista Mercancías'!$A$2:$B$100,2,FALSE),0)</f>
        <v>0</v>
      </c>
      <c r="AE14" s="9">
        <f>IFERROR(VLOOKUP(Carga!AJ14,'Lista Mercancías'!$A$2:$B$100,2,FALSE),0)</f>
        <v>0</v>
      </c>
      <c r="AF14" s="9">
        <f>IFERROR(VLOOKUP(Carga!AK14,'Lista Mercancías'!$A$2:$B$100,2,FALSE),0)</f>
        <v>0</v>
      </c>
    </row>
    <row r="15">
      <c r="A15" s="9" t="str">
        <f>Caravana!A17</f>
        <v>Queso</v>
      </c>
      <c r="B15" s="9">
        <f t="shared" si="2"/>
        <v>20</v>
      </c>
      <c r="C15" s="9">
        <f>IFERROR(VLOOKUP(Carga!D15,'Lista Mercancías'!$A$2:$B$100,2,FALSE),0)</f>
        <v>1</v>
      </c>
      <c r="D15" s="9">
        <f>IFERROR(VLOOKUP(Carga!E15,'Lista Mercancías'!$A$2:$B$100,2,FALSE),0)</f>
        <v>1</v>
      </c>
      <c r="E15" s="9">
        <f>IFERROR(VLOOKUP(Carga!F15,'Lista Mercancías'!$A$2:$B$100,2,FALSE),0)</f>
        <v>1</v>
      </c>
      <c r="F15" s="9">
        <f>IFERROR(VLOOKUP(Carga!G15,'Lista Mercancías'!$A$2:$B$100,2,FALSE),0)</f>
        <v>1</v>
      </c>
      <c r="G15" s="9">
        <f>IFERROR(VLOOKUP(Carga!H15,'Lista Mercancías'!$A$2:$B$100,2,FALSE),0)</f>
        <v>1</v>
      </c>
      <c r="H15" s="9">
        <f>IFERROR(VLOOKUP(Carga!I15,'Lista Mercancías'!$A$2:$B$100,2,FALSE),0)</f>
        <v>1</v>
      </c>
      <c r="I15" s="9">
        <f>IFERROR(VLOOKUP(Carga!J15,'Lista Mercancías'!$A$2:$B$100,2,FALSE),0)</f>
        <v>1</v>
      </c>
      <c r="J15" s="9">
        <f>IFERROR(VLOOKUP(Carga!K15,'Lista Mercancías'!$A$2:$B$100,2,FALSE),0)</f>
        <v>1</v>
      </c>
      <c r="K15" s="9">
        <f>IFERROR(VLOOKUP(Carga!L15,'Lista Mercancías'!$A$2:$B$100,2,FALSE),0)</f>
        <v>1</v>
      </c>
      <c r="L15" s="9">
        <f>IFERROR(VLOOKUP(Carga!M15,'Lista Mercancías'!$A$2:$B$100,2,FALSE),0)</f>
        <v>1</v>
      </c>
      <c r="M15" s="9">
        <f>IFERROR(VLOOKUP(Carga!N15,'Lista Mercancías'!$A$2:$B$100,2,FALSE),0)</f>
        <v>1</v>
      </c>
      <c r="N15" s="9">
        <f>IFERROR(VLOOKUP(Carga!O15,'Lista Mercancías'!$A$2:$B$100,2,FALSE),0)</f>
        <v>1</v>
      </c>
      <c r="O15" s="9">
        <f>IFERROR(VLOOKUP(Carga!P15,'Lista Mercancías'!$A$2:$B$100,2,FALSE),0)</f>
        <v>1</v>
      </c>
      <c r="P15" s="9">
        <f>IFERROR(VLOOKUP(Carga!Q15,'Lista Mercancías'!$A$2:$B$100,2,FALSE),0)</f>
        <v>1</v>
      </c>
      <c r="Q15" s="9">
        <f>IFERROR(VLOOKUP(Carga!R15,'Lista Mercancías'!$A$2:$B$100,2,FALSE),0)</f>
        <v>1</v>
      </c>
      <c r="R15" s="9">
        <f>IFERROR(VLOOKUP(Carga!S15,'Lista Mercancías'!$A$2:$B$100,2,FALSE),0)</f>
        <v>1</v>
      </c>
      <c r="S15" s="9">
        <f>IFERROR(VLOOKUP(Carga!T15,'Lista Mercancías'!$A$2:$B$100,2,FALSE),0)</f>
        <v>1</v>
      </c>
      <c r="T15" s="9">
        <f>IFERROR(VLOOKUP(Carga!U15,'Lista Mercancías'!$A$2:$B$100,2,FALSE),0)</f>
        <v>1</v>
      </c>
      <c r="U15" s="9">
        <f>IFERROR(VLOOKUP(Carga!V15,'Lista Mercancías'!$A$2:$B$100,2,FALSE),0)</f>
        <v>1</v>
      </c>
      <c r="V15" s="9">
        <f>IFERROR(VLOOKUP(Carga!W15,'Lista Mercancías'!$A$2:$B$100,2,FALSE),0)</f>
        <v>1</v>
      </c>
      <c r="W15" s="9">
        <f>IFERROR(VLOOKUP(Carga!X15,'Lista Mercancías'!$A$2:$B$100,2,FALSE),0)</f>
        <v>0</v>
      </c>
      <c r="X15" s="9">
        <f>IFERROR(VLOOKUP(Carga!Y15,'Lista Mercancías'!$A$2:$B$100,2,FALSE),0)</f>
        <v>0</v>
      </c>
      <c r="Y15" s="9">
        <f>IFERROR(VLOOKUP(Carga!Z15,'Lista Mercancías'!$A$2:$B$100,2,FALSE),0)</f>
        <v>0</v>
      </c>
      <c r="Z15" s="9">
        <f>IFERROR(VLOOKUP(Carga!AA15,'Lista Mercancías'!$A$2:$B$100,2,FALSE),0)</f>
        <v>0</v>
      </c>
      <c r="AA15" s="9">
        <f>IFERROR(VLOOKUP(Carga!AB15,'Lista Mercancías'!$A$2:$B$100,2,FALSE),0)</f>
        <v>0</v>
      </c>
      <c r="AB15" s="9">
        <f>IFERROR(VLOOKUP(Carga!AC15,'Lista Mercancías'!$A$2:$B$100,2,FALSE),0)</f>
        <v>0</v>
      </c>
      <c r="AC15" s="9">
        <f>IFERROR(VLOOKUP(Carga!AH15,'Lista Mercancías'!$A$2:$B$100,2,FALSE),0)</f>
        <v>0</v>
      </c>
      <c r="AD15" s="9">
        <f>IFERROR(VLOOKUP(Carga!AI15,'Lista Mercancías'!$A$2:$B$100,2,FALSE),0)</f>
        <v>0</v>
      </c>
      <c r="AE15" s="9">
        <f>IFERROR(VLOOKUP(Carga!AJ15,'Lista Mercancías'!$A$2:$B$100,2,FALSE),0)</f>
        <v>0</v>
      </c>
      <c r="AF15" s="9">
        <f>IFERROR(VLOOKUP(Carga!AK15,'Lista Mercancías'!$A$2:$B$100,2,FALSE),0)</f>
        <v>0</v>
      </c>
    </row>
    <row r="16">
      <c r="A16" s="9" t="str">
        <f>Caravana!A18</f>
        <v>Suministros 1</v>
      </c>
      <c r="B16" s="9">
        <f t="shared" si="2"/>
        <v>4</v>
      </c>
      <c r="C16" s="9">
        <f>IFERROR(VLOOKUP(Carga!D16,'Lista Mercancías'!$A$2:$B$100,2,FALSE),0)</f>
        <v>1</v>
      </c>
      <c r="D16" s="9">
        <f>IFERROR(VLOOKUP(Carga!E16,'Lista Mercancías'!$A$2:$B$100,2,FALSE),0)</f>
        <v>1</v>
      </c>
      <c r="E16" s="9">
        <f>IFERROR(VLOOKUP(Carga!F16,'Lista Mercancías'!$A$2:$B$100,2,FALSE),0)</f>
        <v>0</v>
      </c>
      <c r="F16" s="9">
        <f>IFERROR(VLOOKUP(Carga!G16,'Lista Mercancías'!$A$2:$B$100,2,FALSE),0)</f>
        <v>0</v>
      </c>
      <c r="G16" s="9">
        <f>IFERROR(VLOOKUP(Carga!H16,'Lista Mercancías'!$A$2:$B$100,2,FALSE),0)</f>
        <v>0</v>
      </c>
      <c r="H16" s="9">
        <f>IFERROR(VLOOKUP(Carga!I16,'Lista Mercancías'!$A$2:$B$100,2,FALSE),0)</f>
        <v>0</v>
      </c>
      <c r="I16" s="9">
        <f>IFERROR(VLOOKUP(Carga!J16,'Lista Mercancías'!$A$2:$B$100,2,FALSE),0)</f>
        <v>0</v>
      </c>
      <c r="J16" s="9">
        <f>IFERROR(VLOOKUP(Carga!K16,'Lista Mercancías'!$A$2:$B$100,2,FALSE),0)</f>
        <v>0</v>
      </c>
      <c r="K16" s="9">
        <f>IFERROR(VLOOKUP(Carga!L16,'Lista Mercancías'!$A$2:$B$100,2,FALSE),0)</f>
        <v>0</v>
      </c>
      <c r="L16" s="9">
        <f>IFERROR(VLOOKUP(Carga!M16,'Lista Mercancías'!$A$2:$B$100,2,FALSE),0)</f>
        <v>0</v>
      </c>
      <c r="M16" s="9">
        <f>IFERROR(VLOOKUP(Carga!N16,'Lista Mercancías'!$A$2:$B$100,2,FALSE),0)</f>
        <v>0</v>
      </c>
      <c r="N16" s="9">
        <f>IFERROR(VLOOKUP(Carga!O16,'Lista Mercancías'!$A$2:$B$100,2,FALSE),0)</f>
        <v>0</v>
      </c>
      <c r="O16" s="9">
        <f>IFERROR(VLOOKUP(Carga!P16,'Lista Mercancías'!$A$2:$B$100,2,FALSE),0)</f>
        <v>0</v>
      </c>
      <c r="P16" s="9">
        <f>IFERROR(VLOOKUP(Carga!Q16,'Lista Mercancías'!$A$2:$B$100,2,FALSE),0)</f>
        <v>0</v>
      </c>
      <c r="Q16" s="9">
        <f>IFERROR(VLOOKUP(Carga!R16,'Lista Mercancías'!$A$2:$B$100,2,FALSE),0)</f>
        <v>0</v>
      </c>
      <c r="R16" s="9">
        <f>IFERROR(VLOOKUP(Carga!S16,'Lista Mercancías'!$A$2:$B$100,2,FALSE),0)</f>
        <v>0</v>
      </c>
      <c r="S16" s="9">
        <f>IFERROR(VLOOKUP(Carga!T16,'Lista Mercancías'!$A$2:$B$100,2,FALSE),0)</f>
        <v>0</v>
      </c>
      <c r="T16" s="9">
        <f>IFERROR(VLOOKUP(Carga!U16,'Lista Mercancías'!$A$2:$B$100,2,FALSE),0)</f>
        <v>0</v>
      </c>
      <c r="U16" s="9">
        <f>IFERROR(VLOOKUP(Carga!V16,'Lista Mercancías'!$A$2:$B$100,2,FALSE),0)</f>
        <v>0</v>
      </c>
      <c r="V16" s="9">
        <f>IFERROR(VLOOKUP(Carga!W16,'Lista Mercancías'!$A$2:$B$100,2,FALSE),0)</f>
        <v>0</v>
      </c>
      <c r="W16" s="9">
        <f>IFERROR(VLOOKUP(Carga!X16,'Lista Mercancías'!$A$2:$B$100,2,FALSE),0)</f>
        <v>0</v>
      </c>
      <c r="X16" s="9">
        <f>IFERROR(VLOOKUP(Carga!Y16,'Lista Mercancías'!$A$2:$B$100,2,FALSE),0)</f>
        <v>0</v>
      </c>
      <c r="Y16" s="9">
        <f>IFERROR(VLOOKUP(Carga!Z16,'Lista Mercancías'!$A$2:$B$100,2,FALSE),0)</f>
        <v>0</v>
      </c>
      <c r="Z16" s="9">
        <f>IFERROR(VLOOKUP(Carga!AA16,'Lista Mercancías'!$A$2:$B$100,2,FALSE),0)</f>
        <v>1</v>
      </c>
      <c r="AA16" s="9">
        <f>IFERROR(VLOOKUP(Carga!AB16,'Lista Mercancías'!$A$2:$B$100,2,FALSE),0)</f>
        <v>1</v>
      </c>
      <c r="AB16" s="9">
        <f>IFERROR(VLOOKUP(Carga!AC16,'Lista Mercancías'!$A$2:$B$100,2,FALSE),0)</f>
        <v>0</v>
      </c>
      <c r="AC16" s="9">
        <f>IFERROR(VLOOKUP(Carga!AH16,'Lista Mercancías'!$A$2:$B$100,2,FALSE),0)</f>
        <v>0</v>
      </c>
      <c r="AD16" s="9">
        <f>IFERROR(VLOOKUP(Carga!AI16,'Lista Mercancías'!$A$2:$B$100,2,FALSE),0)</f>
        <v>0</v>
      </c>
      <c r="AE16" s="9">
        <f>IFERROR(VLOOKUP(Carga!AJ16,'Lista Mercancías'!$A$2:$B$100,2,FALSE),0)</f>
        <v>0</v>
      </c>
      <c r="AF16" s="9">
        <f>IFERROR(VLOOKUP(Carga!AK16,'Lista Mercancías'!$A$2:$B$100,2,FALSE),0)</f>
        <v>0</v>
      </c>
    </row>
    <row r="17">
      <c r="A17" s="9" t="str">
        <f>Caravana!A19</f>
        <v>Suministros 2</v>
      </c>
      <c r="B17" s="9">
        <f t="shared" si="2"/>
        <v>4</v>
      </c>
      <c r="C17" s="9">
        <f>IFERROR(VLOOKUP(Carga!D17,'Lista Mercancías'!$A$2:$B$100,2,FALSE),0)</f>
        <v>1</v>
      </c>
      <c r="D17" s="9">
        <f>IFERROR(VLOOKUP(Carga!E17,'Lista Mercancías'!$A$2:$B$100,2,FALSE),0)</f>
        <v>1</v>
      </c>
      <c r="E17" s="9">
        <f>IFERROR(VLOOKUP(Carga!F17,'Lista Mercancías'!$A$2:$B$100,2,FALSE),0)</f>
        <v>0</v>
      </c>
      <c r="F17" s="9">
        <f>IFERROR(VLOOKUP(Carga!G17,'Lista Mercancías'!$A$2:$B$100,2,FALSE),0)</f>
        <v>0</v>
      </c>
      <c r="G17" s="9">
        <f>IFERROR(VLOOKUP(Carga!H17,'Lista Mercancías'!$A$2:$B$100,2,FALSE),0)</f>
        <v>0</v>
      </c>
      <c r="H17" s="9">
        <f>IFERROR(VLOOKUP(Carga!I17,'Lista Mercancías'!$A$2:$B$100,2,FALSE),0)</f>
        <v>0</v>
      </c>
      <c r="I17" s="9">
        <f>IFERROR(VLOOKUP(Carga!J17,'Lista Mercancías'!$A$2:$B$100,2,FALSE),0)</f>
        <v>0</v>
      </c>
      <c r="J17" s="9">
        <f>IFERROR(VLOOKUP(Carga!K17,'Lista Mercancías'!$A$2:$B$100,2,FALSE),0)</f>
        <v>0</v>
      </c>
      <c r="K17" s="9">
        <f>IFERROR(VLOOKUP(Carga!L17,'Lista Mercancías'!$A$2:$B$100,2,FALSE),0)</f>
        <v>0</v>
      </c>
      <c r="L17" s="9">
        <f>IFERROR(VLOOKUP(Carga!M17,'Lista Mercancías'!$A$2:$B$100,2,FALSE),0)</f>
        <v>0</v>
      </c>
      <c r="M17" s="9">
        <f>IFERROR(VLOOKUP(Carga!N17,'Lista Mercancías'!$A$2:$B$100,2,FALSE),0)</f>
        <v>0</v>
      </c>
      <c r="N17" s="9">
        <f>IFERROR(VLOOKUP(Carga!O17,'Lista Mercancías'!$A$2:$B$100,2,FALSE),0)</f>
        <v>0</v>
      </c>
      <c r="O17" s="9">
        <f>IFERROR(VLOOKUP(Carga!P17,'Lista Mercancías'!$A$2:$B$100,2,FALSE),0)</f>
        <v>0</v>
      </c>
      <c r="P17" s="9">
        <f>IFERROR(VLOOKUP(Carga!Q17,'Lista Mercancías'!$A$2:$B$100,2,FALSE),0)</f>
        <v>0</v>
      </c>
      <c r="Q17" s="9">
        <f>IFERROR(VLOOKUP(Carga!R17,'Lista Mercancías'!$A$2:$B$100,2,FALSE),0)</f>
        <v>0</v>
      </c>
      <c r="R17" s="9">
        <f>IFERROR(VLOOKUP(Carga!S17,'Lista Mercancías'!$A$2:$B$100,2,FALSE),0)</f>
        <v>0</v>
      </c>
      <c r="S17" s="9">
        <f>IFERROR(VLOOKUP(Carga!T17,'Lista Mercancías'!$A$2:$B$100,2,FALSE),0)</f>
        <v>0</v>
      </c>
      <c r="T17" s="9">
        <f>IFERROR(VLOOKUP(Carga!U17,'Lista Mercancías'!$A$2:$B$100,2,FALSE),0)</f>
        <v>0</v>
      </c>
      <c r="U17" s="9">
        <f>IFERROR(VLOOKUP(Carga!V17,'Lista Mercancías'!$A$2:$B$100,2,FALSE),0)</f>
        <v>0</v>
      </c>
      <c r="V17" s="9">
        <f>IFERROR(VLOOKUP(Carga!W17,'Lista Mercancías'!$A$2:$B$100,2,FALSE),0)</f>
        <v>0</v>
      </c>
      <c r="W17" s="9">
        <f>IFERROR(VLOOKUP(Carga!X17,'Lista Mercancías'!$A$2:$B$100,2,FALSE),0)</f>
        <v>0</v>
      </c>
      <c r="X17" s="9">
        <f>IFERROR(VLOOKUP(Carga!Y17,'Lista Mercancías'!$A$2:$B$100,2,FALSE),0)</f>
        <v>0</v>
      </c>
      <c r="Y17" s="9">
        <f>IFERROR(VLOOKUP(Carga!Z17,'Lista Mercancías'!$A$2:$B$100,2,FALSE),0)</f>
        <v>0</v>
      </c>
      <c r="Z17" s="9">
        <f>IFERROR(VLOOKUP(Carga!AA17,'Lista Mercancías'!$A$2:$B$100,2,FALSE),0)</f>
        <v>1</v>
      </c>
      <c r="AA17" s="9">
        <f>IFERROR(VLOOKUP(Carga!AB17,'Lista Mercancías'!$A$2:$B$100,2,FALSE),0)</f>
        <v>1</v>
      </c>
      <c r="AB17" s="9">
        <f>IFERROR(VLOOKUP(Carga!AC17,'Lista Mercancías'!$A$2:$B$100,2,FALSE),0)</f>
        <v>0</v>
      </c>
      <c r="AC17" s="9">
        <f>IFERROR(VLOOKUP(Carga!AH17,'Lista Mercancías'!$A$2:$B$100,2,FALSE),0)</f>
        <v>0</v>
      </c>
      <c r="AD17" s="9">
        <f>IFERROR(VLOOKUP(Carga!AI17,'Lista Mercancías'!$A$2:$B$100,2,FALSE),0)</f>
        <v>0</v>
      </c>
      <c r="AE17" s="9">
        <f>IFERROR(VLOOKUP(Carga!AJ17,'Lista Mercancías'!$A$2:$B$100,2,FALSE),0)</f>
        <v>0</v>
      </c>
      <c r="AF17" s="9">
        <f>IFERROR(VLOOKUP(Carga!AK17,'Lista Mercancías'!$A$2:$B$100,2,FALSE),0)</f>
        <v>0</v>
      </c>
    </row>
    <row r="18">
      <c r="A18" s="9" t="str">
        <f>Caravana!A20</f>
        <v>Koya</v>
      </c>
      <c r="B18" s="9">
        <f t="shared" si="2"/>
        <v>2</v>
      </c>
      <c r="C18" s="9">
        <f>IFERROR(VLOOKUP(Carga!D18,'Lista Mercancías'!$A$2:$B$100,2,FALSE),0)</f>
        <v>1</v>
      </c>
      <c r="D18" s="9">
        <f>IFERROR(VLOOKUP(Carga!E18,'Lista Mercancías'!$A$2:$B$100,2,FALSE),0)</f>
        <v>1</v>
      </c>
      <c r="E18" s="9">
        <f>IFERROR(VLOOKUP(Carga!F18,'Lista Mercancías'!$A$2:$B$100,2,FALSE),0)</f>
        <v>0</v>
      </c>
      <c r="F18" s="9">
        <f>IFERROR(VLOOKUP(Carga!G18,'Lista Mercancías'!$A$2:$B$100,2,FALSE),0)</f>
        <v>0</v>
      </c>
      <c r="G18" s="9">
        <f>IFERROR(VLOOKUP(Carga!H18,'Lista Mercancías'!$A$2:$B$100,2,FALSE),0)</f>
        <v>0</v>
      </c>
      <c r="H18" s="9">
        <f>IFERROR(VLOOKUP(Carga!I18,'Lista Mercancías'!$A$2:$B$100,2,FALSE),0)</f>
        <v>0</v>
      </c>
      <c r="I18" s="9">
        <f>IFERROR(VLOOKUP(Carga!J18,'Lista Mercancías'!$A$2:$B$100,2,FALSE),0)</f>
        <v>0</v>
      </c>
      <c r="J18" s="9">
        <f>IFERROR(VLOOKUP(Carga!K18,'Lista Mercancías'!$A$2:$B$100,2,FALSE),0)</f>
        <v>0</v>
      </c>
      <c r="K18" s="9">
        <f>IFERROR(VLOOKUP(Carga!L18,'Lista Mercancías'!$A$2:$B$100,2,FALSE),0)</f>
        <v>0</v>
      </c>
      <c r="L18" s="9">
        <f>IFERROR(VLOOKUP(Carga!M18,'Lista Mercancías'!$A$2:$B$100,2,FALSE),0)</f>
        <v>0</v>
      </c>
      <c r="M18" s="9">
        <f>IFERROR(VLOOKUP(Carga!N18,'Lista Mercancías'!$A$2:$B$100,2,FALSE),0)</f>
        <v>0</v>
      </c>
      <c r="N18" s="9">
        <f>IFERROR(VLOOKUP(Carga!O18,'Lista Mercancías'!$A$2:$B$100,2,FALSE),0)</f>
        <v>0</v>
      </c>
      <c r="O18" s="9">
        <f>IFERROR(VLOOKUP(Carga!P18,'Lista Mercancías'!$A$2:$B$100,2,FALSE),0)</f>
        <v>0</v>
      </c>
      <c r="P18" s="9">
        <f>IFERROR(VLOOKUP(Carga!Q18,'Lista Mercancías'!$A$2:$B$100,2,FALSE),0)</f>
        <v>0</v>
      </c>
      <c r="Q18" s="9">
        <f>IFERROR(VLOOKUP(Carga!R18,'Lista Mercancías'!$A$2:$B$100,2,FALSE),0)</f>
        <v>0</v>
      </c>
      <c r="R18" s="9">
        <f>IFERROR(VLOOKUP(Carga!S18,'Lista Mercancías'!$A$2:$B$100,2,FALSE),0)</f>
        <v>0</v>
      </c>
      <c r="S18" s="9">
        <f>IFERROR(VLOOKUP(Carga!T18,'Lista Mercancías'!$A$2:$B$100,2,FALSE),0)</f>
        <v>0</v>
      </c>
      <c r="T18" s="9">
        <f>IFERROR(VLOOKUP(Carga!U18,'Lista Mercancías'!$A$2:$B$100,2,FALSE),0)</f>
        <v>0</v>
      </c>
      <c r="U18" s="9">
        <f>IFERROR(VLOOKUP(Carga!V18,'Lista Mercancías'!$A$2:$B$100,2,FALSE),0)</f>
        <v>0</v>
      </c>
      <c r="V18" s="9">
        <f>IFERROR(VLOOKUP(Carga!W18,'Lista Mercancías'!$A$2:$B$100,2,FALSE),0)</f>
        <v>0</v>
      </c>
      <c r="W18" s="9">
        <f>IFERROR(VLOOKUP(Carga!X18,'Lista Mercancías'!$A$2:$B$100,2,FALSE),0)</f>
        <v>0</v>
      </c>
      <c r="X18" s="9">
        <f>IFERROR(VLOOKUP(Carga!Y18,'Lista Mercancías'!$A$2:$B$100,2,FALSE),0)</f>
        <v>0</v>
      </c>
      <c r="Y18" s="9">
        <f>IFERROR(VLOOKUP(Carga!Z18,'Lista Mercancías'!$A$2:$B$100,2,FALSE),0)</f>
        <v>0</v>
      </c>
      <c r="Z18" s="9">
        <f>IFERROR(VLOOKUP(Carga!AA18,'Lista Mercancías'!$A$2:$B$100,2,FALSE),0)</f>
        <v>0</v>
      </c>
      <c r="AA18" s="9">
        <f>IFERROR(VLOOKUP(Carga!AB18,'Lista Mercancías'!$A$2:$B$100,2,FALSE),0)</f>
        <v>0</v>
      </c>
      <c r="AB18" s="9">
        <f>IFERROR(VLOOKUP(Carga!AC18,'Lista Mercancías'!$A$2:$B$100,2,FALSE),0)</f>
        <v>0</v>
      </c>
      <c r="AC18" s="9">
        <f>IFERROR(VLOOKUP(Carga!AH18,'Lista Mercancías'!$A$2:$B$100,2,FALSE),0)</f>
        <v>0</v>
      </c>
      <c r="AD18" s="9">
        <f>IFERROR(VLOOKUP(Carga!AI18,'Lista Mercancías'!$A$2:$B$100,2,FALSE),0)</f>
        <v>0</v>
      </c>
      <c r="AE18" s="9">
        <f>IFERROR(VLOOKUP(Carga!AJ18,'Lista Mercancías'!$A$2:$B$100,2,FALSE),0)</f>
        <v>0</v>
      </c>
      <c r="AF18" s="9">
        <f>IFERROR(VLOOKUP(Carga!AK18,'Lista Mercancías'!$A$2:$B$100,2,FALSE),0)</f>
        <v>0</v>
      </c>
    </row>
    <row r="19">
      <c r="A19" s="9" t="str">
        <f>Caravana!A21</f>
        <v>Taller</v>
      </c>
      <c r="B19" s="9">
        <f t="shared" si="2"/>
        <v>5</v>
      </c>
      <c r="C19" s="9">
        <f>IFERROR(VLOOKUP(Carga!D19,'Lista Mercancías'!$A$2:$B$100,2,FALSE),0)</f>
        <v>1</v>
      </c>
      <c r="D19" s="9">
        <f>IFERROR(VLOOKUP(Carga!E19,'Lista Mercancías'!$A$2:$B$100,2,FALSE),0)</f>
        <v>1</v>
      </c>
      <c r="E19" s="9">
        <f>IFERROR(VLOOKUP(Carga!F19,'Lista Mercancías'!$A$2:$B$100,2,FALSE),0)</f>
        <v>1</v>
      </c>
      <c r="F19" s="9">
        <f>IFERROR(VLOOKUP(Carga!G19,'Lista Mercancías'!$A$2:$B$100,2,FALSE),0)</f>
        <v>1</v>
      </c>
      <c r="G19" s="9">
        <f>IFERROR(VLOOKUP(Carga!H19,'Lista Mercancías'!$A$2:$B$100,2,FALSE),0)</f>
        <v>1</v>
      </c>
      <c r="H19" s="9">
        <f>IFERROR(VLOOKUP(Carga!I19,'Lista Mercancías'!$A$2:$B$100,2,FALSE),0)</f>
        <v>0</v>
      </c>
      <c r="I19" s="9">
        <f>IFERROR(VLOOKUP(Carga!J19,'Lista Mercancías'!$A$2:$B$100,2,FALSE),0)</f>
        <v>0</v>
      </c>
      <c r="J19" s="9">
        <f>IFERROR(VLOOKUP(Carga!K19,'Lista Mercancías'!$A$2:$B$100,2,FALSE),0)</f>
        <v>0</v>
      </c>
      <c r="K19" s="9">
        <f>IFERROR(VLOOKUP(Carga!L19,'Lista Mercancías'!$A$2:$B$100,2,FALSE),0)</f>
        <v>0</v>
      </c>
      <c r="L19" s="9">
        <f>IFERROR(VLOOKUP(Carga!M19,'Lista Mercancías'!$A$2:$B$100,2,FALSE),0)</f>
        <v>0</v>
      </c>
      <c r="M19" s="9">
        <f>IFERROR(VLOOKUP(Carga!N19,'Lista Mercancías'!$A$2:$B$100,2,FALSE),0)</f>
        <v>0</v>
      </c>
      <c r="N19" s="9">
        <f>IFERROR(VLOOKUP(Carga!O19,'Lista Mercancías'!$A$2:$B$100,2,FALSE),0)</f>
        <v>0</v>
      </c>
      <c r="O19" s="9">
        <f>IFERROR(VLOOKUP(Carga!P19,'Lista Mercancías'!$A$2:$B$100,2,FALSE),0)</f>
        <v>0</v>
      </c>
      <c r="P19" s="9">
        <f>IFERROR(VLOOKUP(Carga!Q19,'Lista Mercancías'!$A$2:$B$100,2,FALSE),0)</f>
        <v>0</v>
      </c>
      <c r="Q19" s="9">
        <f>IFERROR(VLOOKUP(Carga!R19,'Lista Mercancías'!$A$2:$B$100,2,FALSE),0)</f>
        <v>0</v>
      </c>
      <c r="R19" s="9">
        <f>IFERROR(VLOOKUP(Carga!S19,'Lista Mercancías'!$A$2:$B$100,2,FALSE),0)</f>
        <v>0</v>
      </c>
      <c r="S19" s="9">
        <f>IFERROR(VLOOKUP(Carga!T19,'Lista Mercancías'!$A$2:$B$100,2,FALSE),0)</f>
        <v>0</v>
      </c>
      <c r="T19" s="9">
        <f>IFERROR(VLOOKUP(Carga!U19,'Lista Mercancías'!$A$2:$B$100,2,FALSE),0)</f>
        <v>0</v>
      </c>
      <c r="U19" s="9">
        <f>IFERROR(VLOOKUP(Carga!V19,'Lista Mercancías'!$A$2:$B$100,2,FALSE),0)</f>
        <v>0</v>
      </c>
      <c r="V19" s="9">
        <f>IFERROR(VLOOKUP(Carga!W19,'Lista Mercancías'!$A$2:$B$100,2,FALSE),0)</f>
        <v>0</v>
      </c>
      <c r="W19" s="9">
        <f>IFERROR(VLOOKUP(Carga!X19,'Lista Mercancías'!$A$2:$B$100,2,FALSE),0)</f>
        <v>0</v>
      </c>
      <c r="X19" s="9">
        <f>IFERROR(VLOOKUP(Carga!Y19,'Lista Mercancías'!$A$2:$B$100,2,FALSE),0)</f>
        <v>0</v>
      </c>
      <c r="Y19" s="9">
        <f>IFERROR(VLOOKUP(Carga!Z19,'Lista Mercancías'!$A$2:$B$100,2,FALSE),0)</f>
        <v>0</v>
      </c>
      <c r="Z19" s="9">
        <f>IFERROR(VLOOKUP(Carga!AA19,'Lista Mercancías'!$A$2:$B$100,2,FALSE),0)</f>
        <v>0</v>
      </c>
      <c r="AA19" s="9">
        <f>IFERROR(VLOOKUP(Carga!AB19,'Lista Mercancías'!$A$2:$B$100,2,FALSE),0)</f>
        <v>0</v>
      </c>
      <c r="AB19" s="9">
        <f>IFERROR(VLOOKUP(Carga!AC19,'Lista Mercancías'!$A$2:$B$100,2,FALSE),0)</f>
        <v>0</v>
      </c>
      <c r="AC19" s="9">
        <f>IFERROR(VLOOKUP(Carga!AH19,'Lista Mercancías'!$A$2:$B$100,2,FALSE),0)</f>
        <v>0</v>
      </c>
      <c r="AD19" s="9">
        <f>IFERROR(VLOOKUP(Carga!AI19,'Lista Mercancías'!$A$2:$B$100,2,FALSE),0)</f>
        <v>0</v>
      </c>
      <c r="AE19" s="9">
        <f>IFERROR(VLOOKUP(Carga!AJ19,'Lista Mercancías'!$A$2:$B$100,2,FALSE),0)</f>
        <v>0</v>
      </c>
      <c r="AF19" s="9">
        <f>IFERROR(VLOOKUP(Carga!AK19,'Lista Mercancías'!$A$2:$B$100,2,FALSE),0)</f>
        <v>0</v>
      </c>
    </row>
    <row r="20">
      <c r="A20" s="9" t="str">
        <f>Caravana!A22</f>
        <v>Escuela</v>
      </c>
      <c r="B20" s="9">
        <f t="shared" si="2"/>
        <v>0</v>
      </c>
      <c r="C20" s="9">
        <f>IFERROR(VLOOKUP(Carga!D20,'Lista Mercancías'!$A$2:$B$100,2,FALSE),0)</f>
        <v>0</v>
      </c>
      <c r="D20" s="9">
        <f>IFERROR(VLOOKUP(Carga!E20,'Lista Mercancías'!$A$2:$B$100,2,FALSE),0)</f>
        <v>0</v>
      </c>
      <c r="E20" s="9">
        <f>IFERROR(VLOOKUP(Carga!F20,'Lista Mercancías'!$A$2:$B$100,2,FALSE),0)</f>
        <v>0</v>
      </c>
      <c r="F20" s="9">
        <f>IFERROR(VLOOKUP(Carga!G20,'Lista Mercancías'!$A$2:$B$100,2,FALSE),0)</f>
        <v>0</v>
      </c>
      <c r="G20" s="9">
        <f>IFERROR(VLOOKUP(Carga!H20,'Lista Mercancías'!$A$2:$B$100,2,FALSE),0)</f>
        <v>0</v>
      </c>
      <c r="H20" s="9">
        <f>IFERROR(VLOOKUP(Carga!I20,'Lista Mercancías'!$A$2:$B$100,2,FALSE),0)</f>
        <v>0</v>
      </c>
      <c r="I20" s="9">
        <f>IFERROR(VLOOKUP(Carga!J20,'Lista Mercancías'!$A$2:$B$100,2,FALSE),0)</f>
        <v>0</v>
      </c>
      <c r="J20" s="9">
        <f>IFERROR(VLOOKUP(Carga!K20,'Lista Mercancías'!$A$2:$B$100,2,FALSE),0)</f>
        <v>0</v>
      </c>
      <c r="K20" s="9">
        <f>IFERROR(VLOOKUP(Carga!L20,'Lista Mercancías'!$A$2:$B$100,2,FALSE),0)</f>
        <v>0</v>
      </c>
      <c r="L20" s="9">
        <f>IFERROR(VLOOKUP(Carga!M20,'Lista Mercancías'!$A$2:$B$100,2,FALSE),0)</f>
        <v>0</v>
      </c>
      <c r="M20" s="9">
        <f>IFERROR(VLOOKUP(Carga!N20,'Lista Mercancías'!$A$2:$B$100,2,FALSE),0)</f>
        <v>0</v>
      </c>
      <c r="N20" s="9">
        <f>IFERROR(VLOOKUP(Carga!O20,'Lista Mercancías'!$A$2:$B$100,2,FALSE),0)</f>
        <v>0</v>
      </c>
      <c r="O20" s="9">
        <f>IFERROR(VLOOKUP(Carga!P20,'Lista Mercancías'!$A$2:$B$100,2,FALSE),0)</f>
        <v>0</v>
      </c>
      <c r="P20" s="9">
        <f>IFERROR(VLOOKUP(Carga!Q20,'Lista Mercancías'!$A$2:$B$100,2,FALSE),0)</f>
        <v>0</v>
      </c>
      <c r="Q20" s="9">
        <f>IFERROR(VLOOKUP(Carga!R20,'Lista Mercancías'!$A$2:$B$100,2,FALSE),0)</f>
        <v>0</v>
      </c>
      <c r="R20" s="9">
        <f>IFERROR(VLOOKUP(Carga!S20,'Lista Mercancías'!$A$2:$B$100,2,FALSE),0)</f>
        <v>0</v>
      </c>
      <c r="S20" s="9">
        <f>IFERROR(VLOOKUP(Carga!T20,'Lista Mercancías'!$A$2:$B$100,2,FALSE),0)</f>
        <v>0</v>
      </c>
      <c r="T20" s="9">
        <f>IFERROR(VLOOKUP(Carga!U20,'Lista Mercancías'!$A$2:$B$100,2,FALSE),0)</f>
        <v>0</v>
      </c>
      <c r="U20" s="9">
        <f>IFERROR(VLOOKUP(Carga!V20,'Lista Mercancías'!$A$2:$B$100,2,FALSE),0)</f>
        <v>0</v>
      </c>
      <c r="V20" s="9">
        <f>IFERROR(VLOOKUP(Carga!W20,'Lista Mercancías'!$A$2:$B$100,2,FALSE),0)</f>
        <v>0</v>
      </c>
      <c r="W20" s="9">
        <f>IFERROR(VLOOKUP(Carga!X20,'Lista Mercancías'!$A$2:$B$100,2,FALSE),0)</f>
        <v>0</v>
      </c>
      <c r="X20" s="9">
        <f>IFERROR(VLOOKUP(Carga!Y20,'Lista Mercancías'!$A$2:$B$100,2,FALSE),0)</f>
        <v>0</v>
      </c>
      <c r="Y20" s="9">
        <f>IFERROR(VLOOKUP(Carga!Z20,'Lista Mercancías'!$A$2:$B$100,2,FALSE),0)</f>
        <v>0</v>
      </c>
      <c r="Z20" s="9">
        <f>IFERROR(VLOOKUP(Carga!AA20,'Lista Mercancías'!$A$2:$B$100,2,FALSE),0)</f>
        <v>0</v>
      </c>
      <c r="AA20" s="9">
        <f>IFERROR(VLOOKUP(Carga!AB20,'Lista Mercancías'!$A$2:$B$100,2,FALSE),0)</f>
        <v>0</v>
      </c>
      <c r="AB20" s="9">
        <f>IFERROR(VLOOKUP(Carga!AC20,'Lista Mercancías'!$A$2:$B$100,2,FALSE),0)</f>
        <v>0</v>
      </c>
      <c r="AC20" s="9">
        <f>IFERROR(VLOOKUP(Carga!AH20,'Lista Mercancías'!$A$2:$B$100,2,FALSE),0)</f>
        <v>0</v>
      </c>
      <c r="AD20" s="9">
        <f>IFERROR(VLOOKUP(Carga!AI20,'Lista Mercancías'!$A$2:$B$100,2,FALSE),0)</f>
        <v>0</v>
      </c>
      <c r="AE20" s="9">
        <f>IFERROR(VLOOKUP(Carga!AJ20,'Lista Mercancías'!$A$2:$B$100,2,FALSE),0)</f>
        <v>0</v>
      </c>
      <c r="AF20" s="9">
        <f>IFERROR(VLOOKUP(Carga!AK20,'Lista Mercancías'!$A$2:$B$100,2,FALSE),0)</f>
        <v>0</v>
      </c>
    </row>
    <row r="21">
      <c r="A21" s="9" t="str">
        <f>Caravana!A23</f>
        <v>Huerto Hagorsson</v>
      </c>
      <c r="B21" s="9">
        <f t="shared" si="2"/>
        <v>0</v>
      </c>
      <c r="C21" s="9">
        <f>IFERROR(VLOOKUP(Carga!D21,'Lista Mercancías'!$A$2:$B$100,2,FALSE),0)</f>
        <v>0</v>
      </c>
      <c r="D21" s="9">
        <f>IFERROR(VLOOKUP(Carga!E21,'Lista Mercancías'!$A$2:$B$100,2,FALSE),0)</f>
        <v>0</v>
      </c>
      <c r="E21" s="9">
        <f>IFERROR(VLOOKUP(Carga!F21,'Lista Mercancías'!$A$2:$B$100,2,FALSE),0)</f>
        <v>0</v>
      </c>
      <c r="F21" s="9">
        <f>IFERROR(VLOOKUP(Carga!G21,'Lista Mercancías'!$A$2:$B$100,2,FALSE),0)</f>
        <v>0</v>
      </c>
      <c r="G21" s="9">
        <f>IFERROR(VLOOKUP(Carga!H21,'Lista Mercancías'!$A$2:$B$100,2,FALSE),0)</f>
        <v>0</v>
      </c>
      <c r="H21" s="9">
        <f>IFERROR(VLOOKUP(Carga!I21,'Lista Mercancías'!$A$2:$B$100,2,FALSE),0)</f>
        <v>0</v>
      </c>
      <c r="I21" s="9">
        <f>IFERROR(VLOOKUP(Carga!J21,'Lista Mercancías'!$A$2:$B$100,2,FALSE),0)</f>
        <v>0</v>
      </c>
      <c r="J21" s="9">
        <f>IFERROR(VLOOKUP(Carga!K21,'Lista Mercancías'!$A$2:$B$100,2,FALSE),0)</f>
        <v>0</v>
      </c>
      <c r="K21" s="9">
        <f>IFERROR(VLOOKUP(Carga!L21,'Lista Mercancías'!$A$2:$B$100,2,FALSE),0)</f>
        <v>0</v>
      </c>
      <c r="L21" s="9">
        <f>IFERROR(VLOOKUP(Carga!M21,'Lista Mercancías'!$A$2:$B$100,2,FALSE),0)</f>
        <v>0</v>
      </c>
      <c r="M21" s="9">
        <f>IFERROR(VLOOKUP(Carga!N21,'Lista Mercancías'!$A$2:$B$100,2,FALSE),0)</f>
        <v>0</v>
      </c>
      <c r="N21" s="9">
        <f>IFERROR(VLOOKUP(Carga!O21,'Lista Mercancías'!$A$2:$B$100,2,FALSE),0)</f>
        <v>0</v>
      </c>
      <c r="O21" s="9">
        <f>IFERROR(VLOOKUP(Carga!P21,'Lista Mercancías'!$A$2:$B$100,2,FALSE),0)</f>
        <v>0</v>
      </c>
      <c r="P21" s="9">
        <f>IFERROR(VLOOKUP(Carga!Q21,'Lista Mercancías'!$A$2:$B$100,2,FALSE),0)</f>
        <v>0</v>
      </c>
      <c r="Q21" s="9">
        <f>IFERROR(VLOOKUP(Carga!R21,'Lista Mercancías'!$A$2:$B$100,2,FALSE),0)</f>
        <v>0</v>
      </c>
      <c r="R21" s="9">
        <f>IFERROR(VLOOKUP(Carga!S21,'Lista Mercancías'!$A$2:$B$100,2,FALSE),0)</f>
        <v>0</v>
      </c>
      <c r="S21" s="9">
        <f>IFERROR(VLOOKUP(Carga!T21,'Lista Mercancías'!$A$2:$B$100,2,FALSE),0)</f>
        <v>0</v>
      </c>
      <c r="T21" s="9">
        <f>IFERROR(VLOOKUP(Carga!U21,'Lista Mercancías'!$A$2:$B$100,2,FALSE),0)</f>
        <v>0</v>
      </c>
      <c r="U21" s="9">
        <f>IFERROR(VLOOKUP(Carga!V21,'Lista Mercancías'!$A$2:$B$100,2,FALSE),0)</f>
        <v>0</v>
      </c>
      <c r="V21" s="9">
        <f>IFERROR(VLOOKUP(Carga!W21,'Lista Mercancías'!$A$2:$B$100,2,FALSE),0)</f>
        <v>0</v>
      </c>
      <c r="W21" s="9">
        <f>IFERROR(VLOOKUP(Carga!X21,'Lista Mercancías'!$A$2:$B$100,2,FALSE),0)</f>
        <v>0</v>
      </c>
      <c r="X21" s="9">
        <f>IFERROR(VLOOKUP(Carga!Y21,'Lista Mercancías'!$A$2:$B$100,2,FALSE),0)</f>
        <v>0</v>
      </c>
      <c r="Y21" s="9">
        <f>IFERROR(VLOOKUP(Carga!Z21,'Lista Mercancías'!$A$2:$B$100,2,FALSE),0)</f>
        <v>0</v>
      </c>
      <c r="Z21" s="9">
        <f>IFERROR(VLOOKUP(Carga!AA21,'Lista Mercancías'!$A$2:$B$100,2,FALSE),0)</f>
        <v>0</v>
      </c>
      <c r="AA21" s="9">
        <f>IFERROR(VLOOKUP(Carga!AB21,'Lista Mercancías'!$A$2:$B$100,2,FALSE),0)</f>
        <v>0</v>
      </c>
      <c r="AB21" s="9">
        <f>IFERROR(VLOOKUP(Carga!AC21,'Lista Mercancías'!$A$2:$B$100,2,FALSE),0)</f>
        <v>0</v>
      </c>
      <c r="AC21" s="9">
        <f>IFERROR(VLOOKUP(Carga!AH21,'Lista Mercancías'!$A$2:$B$100,2,FALSE),0)</f>
        <v>0</v>
      </c>
      <c r="AD21" s="9">
        <f>IFERROR(VLOOKUP(Carga!AI21,'Lista Mercancías'!$A$2:$B$100,2,FALSE),0)</f>
        <v>0</v>
      </c>
      <c r="AE21" s="9">
        <f>IFERROR(VLOOKUP(Carga!AJ21,'Lista Mercancías'!$A$2:$B$100,2,FALSE),0)</f>
        <v>0</v>
      </c>
      <c r="AF21" s="9">
        <f>IFERROR(VLOOKUP(Carga!AK21,'Lista Mercancías'!$A$2:$B$100,2,FALSE),0)</f>
        <v>0</v>
      </c>
    </row>
    <row r="22">
      <c r="A22" s="9" t="str">
        <f>Caravana!A24</f>
        <v>Huerto 1</v>
      </c>
      <c r="B22" s="9">
        <f t="shared" si="2"/>
        <v>0</v>
      </c>
      <c r="C22" s="9">
        <f>IFERROR(VLOOKUP(Carga!D22,'Lista Mercancías'!$A$2:$B$100,2,FALSE),0)</f>
        <v>0</v>
      </c>
      <c r="D22" s="9">
        <f>IFERROR(VLOOKUP(Carga!E22,'Lista Mercancías'!$A$2:$B$100,2,FALSE),0)</f>
        <v>0</v>
      </c>
      <c r="E22" s="9">
        <f>IFERROR(VLOOKUP(Carga!F22,'Lista Mercancías'!$A$2:$B$100,2,FALSE),0)</f>
        <v>0</v>
      </c>
      <c r="F22" s="9">
        <f>IFERROR(VLOOKUP(Carga!G22,'Lista Mercancías'!$A$2:$B$100,2,FALSE),0)</f>
        <v>0</v>
      </c>
      <c r="G22" s="9">
        <f>IFERROR(VLOOKUP(Carga!H22,'Lista Mercancías'!$A$2:$B$100,2,FALSE),0)</f>
        <v>0</v>
      </c>
      <c r="H22" s="9">
        <f>IFERROR(VLOOKUP(Carga!I22,'Lista Mercancías'!$A$2:$B$100,2,FALSE),0)</f>
        <v>0</v>
      </c>
      <c r="I22" s="9">
        <f>IFERROR(VLOOKUP(Carga!J22,'Lista Mercancías'!$A$2:$B$100,2,FALSE),0)</f>
        <v>0</v>
      </c>
      <c r="J22" s="9">
        <f>IFERROR(VLOOKUP(Carga!K22,'Lista Mercancías'!$A$2:$B$100,2,FALSE),0)</f>
        <v>0</v>
      </c>
      <c r="K22" s="9">
        <f>IFERROR(VLOOKUP(Carga!L22,'Lista Mercancías'!$A$2:$B$100,2,FALSE),0)</f>
        <v>0</v>
      </c>
      <c r="L22" s="9">
        <f>IFERROR(VLOOKUP(Carga!M22,'Lista Mercancías'!$A$2:$B$100,2,FALSE),0)</f>
        <v>0</v>
      </c>
      <c r="M22" s="9">
        <f>IFERROR(VLOOKUP(Carga!N22,'Lista Mercancías'!$A$2:$B$100,2,FALSE),0)</f>
        <v>0</v>
      </c>
      <c r="N22" s="9">
        <f>IFERROR(VLOOKUP(Carga!O22,'Lista Mercancías'!$A$2:$B$100,2,FALSE),0)</f>
        <v>0</v>
      </c>
      <c r="O22" s="9">
        <f>IFERROR(VLOOKUP(Carga!P22,'Lista Mercancías'!$A$2:$B$100,2,FALSE),0)</f>
        <v>0</v>
      </c>
      <c r="P22" s="9">
        <f>IFERROR(VLOOKUP(Carga!Q22,'Lista Mercancías'!$A$2:$B$100,2,FALSE),0)</f>
        <v>0</v>
      </c>
      <c r="Q22" s="9">
        <f>IFERROR(VLOOKUP(Carga!R22,'Lista Mercancías'!$A$2:$B$100,2,FALSE),0)</f>
        <v>0</v>
      </c>
      <c r="R22" s="9">
        <f>IFERROR(VLOOKUP(Carga!S22,'Lista Mercancías'!$A$2:$B$100,2,FALSE),0)</f>
        <v>0</v>
      </c>
      <c r="S22" s="9">
        <f>IFERROR(VLOOKUP(Carga!T22,'Lista Mercancías'!$A$2:$B$100,2,FALSE),0)</f>
        <v>0</v>
      </c>
      <c r="T22" s="9">
        <f>IFERROR(VLOOKUP(Carga!U22,'Lista Mercancías'!$A$2:$B$100,2,FALSE),0)</f>
        <v>0</v>
      </c>
      <c r="U22" s="9">
        <f>IFERROR(VLOOKUP(Carga!V22,'Lista Mercancías'!$A$2:$B$100,2,FALSE),0)</f>
        <v>0</v>
      </c>
      <c r="V22" s="9">
        <f>IFERROR(VLOOKUP(Carga!W22,'Lista Mercancías'!$A$2:$B$100,2,FALSE),0)</f>
        <v>0</v>
      </c>
      <c r="W22" s="9">
        <f>IFERROR(VLOOKUP(Carga!X22,'Lista Mercancías'!$A$2:$B$100,2,FALSE),0)</f>
        <v>0</v>
      </c>
      <c r="X22" s="9">
        <f>IFERROR(VLOOKUP(Carga!Y22,'Lista Mercancías'!$A$2:$B$100,2,FALSE),0)</f>
        <v>0</v>
      </c>
      <c r="Y22" s="9">
        <f>IFERROR(VLOOKUP(Carga!Z22,'Lista Mercancías'!$A$2:$B$100,2,FALSE),0)</f>
        <v>0</v>
      </c>
      <c r="Z22" s="9">
        <f>IFERROR(VLOOKUP(Carga!AA22,'Lista Mercancías'!$A$2:$B$100,2,FALSE),0)</f>
        <v>0</v>
      </c>
      <c r="AA22" s="9">
        <f>IFERROR(VLOOKUP(Carga!AB22,'Lista Mercancías'!$A$2:$B$100,2,FALSE),0)</f>
        <v>0</v>
      </c>
      <c r="AB22" s="9">
        <f>IFERROR(VLOOKUP(Carga!AC22,'Lista Mercancías'!$A$2:$B$100,2,FALSE),0)</f>
        <v>0</v>
      </c>
      <c r="AC22" s="9">
        <f>IFERROR(VLOOKUP(Carga!AH22,'Lista Mercancías'!$A$2:$B$100,2,FALSE),0)</f>
        <v>0</v>
      </c>
      <c r="AD22" s="9">
        <f>IFERROR(VLOOKUP(Carga!AI22,'Lista Mercancías'!$A$2:$B$100,2,FALSE),0)</f>
        <v>0</v>
      </c>
      <c r="AE22" s="9">
        <f>IFERROR(VLOOKUP(Carga!AJ22,'Lista Mercancías'!$A$2:$B$100,2,FALSE),0)</f>
        <v>0</v>
      </c>
      <c r="AF22" s="9">
        <f>IFERROR(VLOOKUP(Carga!AK22,'Lista Mercancías'!$A$2:$B$100,2,FALSE),0)</f>
        <v>0</v>
      </c>
    </row>
    <row r="23">
      <c r="A23" s="9" t="str">
        <f>Caravana!A25</f>
        <v>Huerto 2</v>
      </c>
      <c r="B23" s="9">
        <f t="shared" si="2"/>
        <v>0</v>
      </c>
      <c r="C23" s="9">
        <f>IFERROR(VLOOKUP(Carga!D23,'Lista Mercancías'!$A$2:$B$100,2,FALSE),0)</f>
        <v>0</v>
      </c>
      <c r="D23" s="9">
        <f>IFERROR(VLOOKUP(Carga!E23,'Lista Mercancías'!$A$2:$B$100,2,FALSE),0)</f>
        <v>0</v>
      </c>
      <c r="E23" s="9">
        <f>IFERROR(VLOOKUP(Carga!F23,'Lista Mercancías'!$A$2:$B$100,2,FALSE),0)</f>
        <v>0</v>
      </c>
      <c r="F23" s="9">
        <f>IFERROR(VLOOKUP(Carga!G23,'Lista Mercancías'!$A$2:$B$100,2,FALSE),0)</f>
        <v>0</v>
      </c>
      <c r="G23" s="9">
        <f>IFERROR(VLOOKUP(Carga!H23,'Lista Mercancías'!$A$2:$B$100,2,FALSE),0)</f>
        <v>0</v>
      </c>
      <c r="H23" s="9">
        <f>IFERROR(VLOOKUP(Carga!I23,'Lista Mercancías'!$A$2:$B$100,2,FALSE),0)</f>
        <v>0</v>
      </c>
      <c r="I23" s="9">
        <f>IFERROR(VLOOKUP(Carga!J23,'Lista Mercancías'!$A$2:$B$100,2,FALSE),0)</f>
        <v>0</v>
      </c>
      <c r="J23" s="9">
        <f>IFERROR(VLOOKUP(Carga!K23,'Lista Mercancías'!$A$2:$B$100,2,FALSE),0)</f>
        <v>0</v>
      </c>
      <c r="K23" s="9">
        <f>IFERROR(VLOOKUP(Carga!L23,'Lista Mercancías'!$A$2:$B$100,2,FALSE),0)</f>
        <v>0</v>
      </c>
      <c r="L23" s="9">
        <f>IFERROR(VLOOKUP(Carga!M23,'Lista Mercancías'!$A$2:$B$100,2,FALSE),0)</f>
        <v>0</v>
      </c>
      <c r="M23" s="9">
        <f>IFERROR(VLOOKUP(Carga!N23,'Lista Mercancías'!$A$2:$B$100,2,FALSE),0)</f>
        <v>0</v>
      </c>
      <c r="N23" s="9">
        <f>IFERROR(VLOOKUP(Carga!O23,'Lista Mercancías'!$A$2:$B$100,2,FALSE),0)</f>
        <v>0</v>
      </c>
      <c r="O23" s="9">
        <f>IFERROR(VLOOKUP(Carga!P23,'Lista Mercancías'!$A$2:$B$100,2,FALSE),0)</f>
        <v>0</v>
      </c>
      <c r="P23" s="9">
        <f>IFERROR(VLOOKUP(Carga!Q23,'Lista Mercancías'!$A$2:$B$100,2,FALSE),0)</f>
        <v>0</v>
      </c>
      <c r="Q23" s="9">
        <f>IFERROR(VLOOKUP(Carga!R23,'Lista Mercancías'!$A$2:$B$100,2,FALSE),0)</f>
        <v>0</v>
      </c>
      <c r="R23" s="9">
        <f>IFERROR(VLOOKUP(Carga!S23,'Lista Mercancías'!$A$2:$B$100,2,FALSE),0)</f>
        <v>0</v>
      </c>
      <c r="S23" s="9">
        <f>IFERROR(VLOOKUP(Carga!T23,'Lista Mercancías'!$A$2:$B$100,2,FALSE),0)</f>
        <v>0</v>
      </c>
      <c r="T23" s="9">
        <f>IFERROR(VLOOKUP(Carga!U23,'Lista Mercancías'!$A$2:$B$100,2,FALSE),0)</f>
        <v>0</v>
      </c>
      <c r="U23" s="9">
        <f>IFERROR(VLOOKUP(Carga!V23,'Lista Mercancías'!$A$2:$B$100,2,FALSE),0)</f>
        <v>0</v>
      </c>
      <c r="V23" s="9">
        <f>IFERROR(VLOOKUP(Carga!W23,'Lista Mercancías'!$A$2:$B$100,2,FALSE),0)</f>
        <v>0</v>
      </c>
      <c r="W23" s="9">
        <f>IFERROR(VLOOKUP(Carga!X23,'Lista Mercancías'!$A$2:$B$100,2,FALSE),0)</f>
        <v>0</v>
      </c>
      <c r="X23" s="9">
        <f>IFERROR(VLOOKUP(Carga!Y23,'Lista Mercancías'!$A$2:$B$100,2,FALSE),0)</f>
        <v>0</v>
      </c>
      <c r="Y23" s="9">
        <f>IFERROR(VLOOKUP(Carga!Z23,'Lista Mercancías'!$A$2:$B$100,2,FALSE),0)</f>
        <v>0</v>
      </c>
      <c r="Z23" s="9">
        <f>IFERROR(VLOOKUP(Carga!AA23,'Lista Mercancías'!$A$2:$B$100,2,FALSE),0)</f>
        <v>0</v>
      </c>
      <c r="AA23" s="9">
        <f>IFERROR(VLOOKUP(Carga!AB23,'Lista Mercancías'!$A$2:$B$100,2,FALSE),0)</f>
        <v>0</v>
      </c>
      <c r="AB23" s="9">
        <f>IFERROR(VLOOKUP(Carga!AC23,'Lista Mercancías'!$A$2:$B$100,2,FALSE),0)</f>
        <v>0</v>
      </c>
      <c r="AC23" s="9">
        <f>IFERROR(VLOOKUP(Carga!AH23,'Lista Mercancías'!$A$2:$B$100,2,FALSE),0)</f>
        <v>0</v>
      </c>
      <c r="AD23" s="9">
        <f>IFERROR(VLOOKUP(Carga!AI23,'Lista Mercancías'!$A$2:$B$100,2,FALSE),0)</f>
        <v>0</v>
      </c>
      <c r="AE23" s="9">
        <f>IFERROR(VLOOKUP(Carga!AJ23,'Lista Mercancías'!$A$2:$B$100,2,FALSE),0)</f>
        <v>0</v>
      </c>
      <c r="AF23" s="9">
        <f>IFERROR(VLOOKUP(Carga!AK23,'Lista Mercancías'!$A$2:$B$100,2,FALSE),0)</f>
        <v>0</v>
      </c>
    </row>
    <row r="24">
      <c r="A24" s="9" t="str">
        <f>Caravana!A26</f>
        <v>Hospital</v>
      </c>
      <c r="B24" s="9">
        <f t="shared" si="2"/>
        <v>0</v>
      </c>
      <c r="C24" s="9">
        <f>IFERROR(VLOOKUP(Carga!D24,'Lista Mercancías'!$A$2:$B$100,2,FALSE),0)</f>
        <v>0</v>
      </c>
      <c r="D24" s="9">
        <f>IFERROR(VLOOKUP(Carga!E24,'Lista Mercancías'!$A$2:$B$100,2,FALSE),0)</f>
        <v>0</v>
      </c>
      <c r="E24" s="9">
        <f>IFERROR(VLOOKUP(Carga!F24,'Lista Mercancías'!$A$2:$B$100,2,FALSE),0)</f>
        <v>0</v>
      </c>
      <c r="F24" s="9">
        <f>IFERROR(VLOOKUP(Carga!G24,'Lista Mercancías'!$A$2:$B$100,2,FALSE),0)</f>
        <v>0</v>
      </c>
      <c r="G24" s="9">
        <f>IFERROR(VLOOKUP(Carga!H24,'Lista Mercancías'!$A$2:$B$100,2,FALSE),0)</f>
        <v>0</v>
      </c>
      <c r="H24" s="9">
        <f>IFERROR(VLOOKUP(Carga!I24,'Lista Mercancías'!$A$2:$B$100,2,FALSE),0)</f>
        <v>0</v>
      </c>
      <c r="I24" s="9">
        <f>IFERROR(VLOOKUP(Carga!J24,'Lista Mercancías'!$A$2:$B$100,2,FALSE),0)</f>
        <v>0</v>
      </c>
      <c r="J24" s="9">
        <f>IFERROR(VLOOKUP(Carga!K24,'Lista Mercancías'!$A$2:$B$100,2,FALSE),0)</f>
        <v>0</v>
      </c>
      <c r="K24" s="9">
        <f>IFERROR(VLOOKUP(Carga!L24,'Lista Mercancías'!$A$2:$B$100,2,FALSE),0)</f>
        <v>0</v>
      </c>
      <c r="L24" s="9">
        <f>IFERROR(VLOOKUP(Carga!M24,'Lista Mercancías'!$A$2:$B$100,2,FALSE),0)</f>
        <v>0</v>
      </c>
      <c r="M24" s="9">
        <f>IFERROR(VLOOKUP(Carga!N24,'Lista Mercancías'!$A$2:$B$100,2,FALSE),0)</f>
        <v>0</v>
      </c>
      <c r="N24" s="9">
        <f>IFERROR(VLOOKUP(Carga!O24,'Lista Mercancías'!$A$2:$B$100,2,FALSE),0)</f>
        <v>0</v>
      </c>
      <c r="O24" s="9">
        <f>IFERROR(VLOOKUP(Carga!P24,'Lista Mercancías'!$A$2:$B$100,2,FALSE),0)</f>
        <v>0</v>
      </c>
      <c r="P24" s="9">
        <f>IFERROR(VLOOKUP(Carga!Q24,'Lista Mercancías'!$A$2:$B$100,2,FALSE),0)</f>
        <v>0</v>
      </c>
      <c r="Q24" s="9">
        <f>IFERROR(VLOOKUP(Carga!R24,'Lista Mercancías'!$A$2:$B$100,2,FALSE),0)</f>
        <v>0</v>
      </c>
      <c r="R24" s="9">
        <f>IFERROR(VLOOKUP(Carga!S24,'Lista Mercancías'!$A$2:$B$100,2,FALSE),0)</f>
        <v>0</v>
      </c>
      <c r="S24" s="9">
        <f>IFERROR(VLOOKUP(Carga!T24,'Lista Mercancías'!$A$2:$B$100,2,FALSE),0)</f>
        <v>0</v>
      </c>
      <c r="T24" s="9">
        <f>IFERROR(VLOOKUP(Carga!U24,'Lista Mercancías'!$A$2:$B$100,2,FALSE),0)</f>
        <v>0</v>
      </c>
      <c r="U24" s="9">
        <f>IFERROR(VLOOKUP(Carga!V24,'Lista Mercancías'!$A$2:$B$100,2,FALSE),0)</f>
        <v>0</v>
      </c>
      <c r="V24" s="9">
        <f>IFERROR(VLOOKUP(Carga!W24,'Lista Mercancías'!$A$2:$B$100,2,FALSE),0)</f>
        <v>0</v>
      </c>
      <c r="W24" s="9">
        <f>IFERROR(VLOOKUP(Carga!X24,'Lista Mercancías'!$A$2:$B$100,2,FALSE),0)</f>
        <v>0</v>
      </c>
      <c r="X24" s="9">
        <f>IFERROR(VLOOKUP(Carga!Y24,'Lista Mercancías'!$A$2:$B$100,2,FALSE),0)</f>
        <v>0</v>
      </c>
      <c r="Y24" s="9">
        <f>IFERROR(VLOOKUP(Carga!Z24,'Lista Mercancías'!$A$2:$B$100,2,FALSE),0)</f>
        <v>0</v>
      </c>
      <c r="Z24" s="9">
        <f>IFERROR(VLOOKUP(Carga!AA24,'Lista Mercancías'!$A$2:$B$100,2,FALSE),0)</f>
        <v>0</v>
      </c>
      <c r="AA24" s="9">
        <f>IFERROR(VLOOKUP(Carga!AB24,'Lista Mercancías'!$A$2:$B$100,2,FALSE),0)</f>
        <v>0</v>
      </c>
      <c r="AB24" s="9">
        <f>IFERROR(VLOOKUP(Carga!AC24,'Lista Mercancías'!$A$2:$B$100,2,FALSE),0)</f>
        <v>0</v>
      </c>
      <c r="AC24" s="9">
        <f>IFERROR(VLOOKUP(Carga!AH24,'Lista Mercancías'!$A$2:$B$100,2,FALSE),0)</f>
        <v>0</v>
      </c>
      <c r="AD24" s="9">
        <f>IFERROR(VLOOKUP(Carga!AI24,'Lista Mercancías'!$A$2:$B$100,2,FALSE),0)</f>
        <v>0</v>
      </c>
      <c r="AE24" s="9">
        <f>IFERROR(VLOOKUP(Carga!AJ24,'Lista Mercancías'!$A$2:$B$100,2,FALSE),0)</f>
        <v>0</v>
      </c>
      <c r="AF24" s="9">
        <f>IFERROR(VLOOKUP(Carga!AK24,'Lista Mercancías'!$A$2:$B$100,2,FALSE),0)</f>
        <v>0</v>
      </c>
    </row>
    <row r="25">
      <c r="A25" s="9" t="str">
        <f>Caravana!A27</f>
        <v>Bar sin límites</v>
      </c>
      <c r="B25" s="9">
        <f t="shared" si="2"/>
        <v>3</v>
      </c>
      <c r="C25" s="9">
        <f>IFERROR(VLOOKUP(Carga!D25,'Lista Mercancías'!$A$2:$B$100,2,FALSE),0)</f>
        <v>1</v>
      </c>
      <c r="D25" s="9">
        <f>IFERROR(VLOOKUP(Carga!E25,'Lista Mercancías'!$A$2:$B$100,2,FALSE),0)</f>
        <v>1</v>
      </c>
      <c r="E25" s="9">
        <f>IFERROR(VLOOKUP(Carga!F25,'Lista Mercancías'!$A$2:$B$100,2,FALSE),0)</f>
        <v>1</v>
      </c>
      <c r="F25" s="9">
        <f>IFERROR(VLOOKUP(Carga!G25,'Lista Mercancías'!$A$2:$B$100,2,FALSE),0)</f>
        <v>0</v>
      </c>
      <c r="G25" s="9">
        <f>IFERROR(VLOOKUP(Carga!H25,'Lista Mercancías'!$A$2:$B$100,2,FALSE),0)</f>
        <v>0</v>
      </c>
      <c r="H25" s="9">
        <f>IFERROR(VLOOKUP(Carga!I25,'Lista Mercancías'!$A$2:$B$100,2,FALSE),0)</f>
        <v>0</v>
      </c>
      <c r="I25" s="9">
        <f>IFERROR(VLOOKUP(Carga!J25,'Lista Mercancías'!$A$2:$B$100,2,FALSE),0)</f>
        <v>0</v>
      </c>
      <c r="J25" s="9">
        <f>IFERROR(VLOOKUP(Carga!K25,'Lista Mercancías'!$A$2:$B$100,2,FALSE),0)</f>
        <v>0</v>
      </c>
      <c r="K25" s="9">
        <f>IFERROR(VLOOKUP(Carga!L25,'Lista Mercancías'!$A$2:$B$100,2,FALSE),0)</f>
        <v>0</v>
      </c>
      <c r="L25" s="9">
        <f>IFERROR(VLOOKUP(Carga!M25,'Lista Mercancías'!$A$2:$B$100,2,FALSE),0)</f>
        <v>0</v>
      </c>
      <c r="M25" s="9">
        <f>IFERROR(VLOOKUP(Carga!N25,'Lista Mercancías'!$A$2:$B$100,2,FALSE),0)</f>
        <v>0</v>
      </c>
      <c r="N25" s="9">
        <f>IFERROR(VLOOKUP(Carga!O25,'Lista Mercancías'!$A$2:$B$100,2,FALSE),0)</f>
        <v>0</v>
      </c>
      <c r="O25" s="9">
        <f>IFERROR(VLOOKUP(Carga!P25,'Lista Mercancías'!$A$2:$B$100,2,FALSE),0)</f>
        <v>0</v>
      </c>
      <c r="P25" s="9">
        <f>IFERROR(VLOOKUP(Carga!Q25,'Lista Mercancías'!$A$2:$B$100,2,FALSE),0)</f>
        <v>0</v>
      </c>
      <c r="Q25" s="9">
        <f>IFERROR(VLOOKUP(Carga!R25,'Lista Mercancías'!$A$2:$B$100,2,FALSE),0)</f>
        <v>0</v>
      </c>
      <c r="R25" s="9">
        <f>IFERROR(VLOOKUP(Carga!S25,'Lista Mercancías'!$A$2:$B$100,2,FALSE),0)</f>
        <v>0</v>
      </c>
      <c r="S25" s="9">
        <f>IFERROR(VLOOKUP(Carga!T25,'Lista Mercancías'!$A$2:$B$100,2,FALSE),0)</f>
        <v>0</v>
      </c>
      <c r="T25" s="9">
        <f>IFERROR(VLOOKUP(Carga!U25,'Lista Mercancías'!$A$2:$B$100,2,FALSE),0)</f>
        <v>0</v>
      </c>
      <c r="U25" s="9">
        <f>IFERROR(VLOOKUP(Carga!V25,'Lista Mercancías'!$A$2:$B$100,2,FALSE),0)</f>
        <v>0</v>
      </c>
      <c r="V25" s="9">
        <f>IFERROR(VLOOKUP(Carga!W25,'Lista Mercancías'!$A$2:$B$100,2,FALSE),0)</f>
        <v>0</v>
      </c>
      <c r="W25" s="9">
        <f>IFERROR(VLOOKUP(Carga!X25,'Lista Mercancías'!$A$2:$B$100,2,FALSE),0)</f>
        <v>0</v>
      </c>
      <c r="X25" s="9">
        <f>IFERROR(VLOOKUP(Carga!Y25,'Lista Mercancías'!$A$2:$B$100,2,FALSE),0)</f>
        <v>0</v>
      </c>
      <c r="Y25" s="9">
        <f>IFERROR(VLOOKUP(Carga!Z25,'Lista Mercancías'!$A$2:$B$100,2,FALSE),0)</f>
        <v>0</v>
      </c>
      <c r="Z25" s="9">
        <f>IFERROR(VLOOKUP(Carga!AA25,'Lista Mercancías'!$A$2:$B$100,2,FALSE),0)</f>
        <v>0</v>
      </c>
      <c r="AA25" s="9">
        <f>IFERROR(VLOOKUP(Carga!AB25,'Lista Mercancías'!$A$2:$B$100,2,FALSE),0)</f>
        <v>0</v>
      </c>
      <c r="AB25" s="9">
        <f>IFERROR(VLOOKUP(Carga!AC25,'Lista Mercancías'!$A$2:$B$100,2,FALSE),0)</f>
        <v>0</v>
      </c>
      <c r="AC25" s="9">
        <f>IFERROR(VLOOKUP(Carga!AH25,'Lista Mercancías'!$A$2:$B$100,2,FALSE),0)</f>
        <v>0</v>
      </c>
      <c r="AD25" s="9">
        <f>IFERROR(VLOOKUP(Carga!AI25,'Lista Mercancías'!$A$2:$B$100,2,FALSE),0)</f>
        <v>0</v>
      </c>
      <c r="AE25" s="9">
        <f>IFERROR(VLOOKUP(Carga!AJ25,'Lista Mercancías'!$A$2:$B$100,2,FALSE),0)</f>
        <v>0</v>
      </c>
      <c r="AF25" s="9">
        <f>IFERROR(VLOOKUP(Carga!AK25,'Lista Mercancías'!$A$2:$B$100,2,FALSE),0)</f>
        <v>0</v>
      </c>
    </row>
    <row r="26">
      <c r="A26" s="9" t="str">
        <f>Caravana!A28</f>
        <v>Cómodo 1</v>
      </c>
      <c r="B26" s="9">
        <f t="shared" si="2"/>
        <v>2</v>
      </c>
      <c r="C26" s="9">
        <f>IFERROR(VLOOKUP(Carga!D26,'Lista Mercancías'!$A$2:$B$100,2,FALSE),0)</f>
        <v>1</v>
      </c>
      <c r="D26" s="9">
        <f>IFERROR(VLOOKUP(Carga!E26,'Lista Mercancías'!$A$2:$B$100,2,FALSE),0)</f>
        <v>1</v>
      </c>
      <c r="E26" s="9">
        <f>IFERROR(VLOOKUP(Carga!F26,'Lista Mercancías'!$A$2:$B$100,2,FALSE),0)</f>
        <v>0</v>
      </c>
      <c r="F26" s="9">
        <f>IFERROR(VLOOKUP(Carga!G26,'Lista Mercancías'!$A$2:$B$100,2,FALSE),0)</f>
        <v>0</v>
      </c>
      <c r="G26" s="9">
        <f>IFERROR(VLOOKUP(Carga!H26,'Lista Mercancías'!$A$2:$B$100,2,FALSE),0)</f>
        <v>0</v>
      </c>
      <c r="H26" s="9">
        <f>IFERROR(VLOOKUP(Carga!I26,'Lista Mercancías'!$A$2:$B$100,2,FALSE),0)</f>
        <v>0</v>
      </c>
      <c r="I26" s="9">
        <f>IFERROR(VLOOKUP(Carga!J26,'Lista Mercancías'!$A$2:$B$100,2,FALSE),0)</f>
        <v>0</v>
      </c>
      <c r="J26" s="9">
        <f>IFERROR(VLOOKUP(Carga!K26,'Lista Mercancías'!$A$2:$B$100,2,FALSE),0)</f>
        <v>0</v>
      </c>
      <c r="K26" s="9">
        <f>IFERROR(VLOOKUP(Carga!L26,'Lista Mercancías'!$A$2:$B$100,2,FALSE),0)</f>
        <v>0</v>
      </c>
      <c r="L26" s="9">
        <f>IFERROR(VLOOKUP(Carga!M26,'Lista Mercancías'!$A$2:$B$100,2,FALSE),0)</f>
        <v>0</v>
      </c>
      <c r="M26" s="9">
        <f>IFERROR(VLOOKUP(Carga!N26,'Lista Mercancías'!$A$2:$B$100,2,FALSE),0)</f>
        <v>0</v>
      </c>
      <c r="N26" s="9">
        <f>IFERROR(VLOOKUP(Carga!O26,'Lista Mercancías'!$A$2:$B$100,2,FALSE),0)</f>
        <v>0</v>
      </c>
      <c r="O26" s="9">
        <f>IFERROR(VLOOKUP(Carga!P26,'Lista Mercancías'!$A$2:$B$100,2,FALSE),0)</f>
        <v>0</v>
      </c>
      <c r="P26" s="9">
        <f>IFERROR(VLOOKUP(Carga!Q26,'Lista Mercancías'!$A$2:$B$100,2,FALSE),0)</f>
        <v>0</v>
      </c>
      <c r="Q26" s="9">
        <f>IFERROR(VLOOKUP(Carga!R26,'Lista Mercancías'!$A$2:$B$100,2,FALSE),0)</f>
        <v>0</v>
      </c>
      <c r="R26" s="9">
        <f>IFERROR(VLOOKUP(Carga!S26,'Lista Mercancías'!$A$2:$B$100,2,FALSE),0)</f>
        <v>0</v>
      </c>
      <c r="S26" s="9">
        <f>IFERROR(VLOOKUP(Carga!T26,'Lista Mercancías'!$A$2:$B$100,2,FALSE),0)</f>
        <v>0</v>
      </c>
      <c r="T26" s="9">
        <f>IFERROR(VLOOKUP(Carga!U26,'Lista Mercancías'!$A$2:$B$100,2,FALSE),0)</f>
        <v>0</v>
      </c>
      <c r="U26" s="9">
        <f>IFERROR(VLOOKUP(Carga!V26,'Lista Mercancías'!$A$2:$B$100,2,FALSE),0)</f>
        <v>0</v>
      </c>
      <c r="V26" s="9">
        <f>IFERROR(VLOOKUP(Carga!W26,'Lista Mercancías'!$A$2:$B$100,2,FALSE),0)</f>
        <v>0</v>
      </c>
      <c r="W26" s="9">
        <f>IFERROR(VLOOKUP(Carga!X26,'Lista Mercancías'!$A$2:$B$100,2,FALSE),0)</f>
        <v>0</v>
      </c>
      <c r="X26" s="9">
        <f>IFERROR(VLOOKUP(Carga!Y26,'Lista Mercancías'!$A$2:$B$100,2,FALSE),0)</f>
        <v>0</v>
      </c>
      <c r="Y26" s="9">
        <f>IFERROR(VLOOKUP(Carga!Z26,'Lista Mercancías'!$A$2:$B$100,2,FALSE),0)</f>
        <v>0</v>
      </c>
      <c r="Z26" s="9">
        <f>IFERROR(VLOOKUP(Carga!AA26,'Lista Mercancías'!$A$2:$B$100,2,FALSE),0)</f>
        <v>0</v>
      </c>
      <c r="AA26" s="9">
        <f>IFERROR(VLOOKUP(Carga!AB26,'Lista Mercancías'!$A$2:$B$100,2,FALSE),0)</f>
        <v>0</v>
      </c>
      <c r="AB26" s="9">
        <f>IFERROR(VLOOKUP(Carga!AC26,'Lista Mercancías'!$A$2:$B$100,2,FALSE),0)</f>
        <v>0</v>
      </c>
      <c r="AC26" s="9">
        <f>IFERROR(VLOOKUP(Carga!AH26,'Lista Mercancías'!$A$2:$B$100,2,FALSE),0)</f>
        <v>0</v>
      </c>
      <c r="AD26" s="9">
        <f>IFERROR(VLOOKUP(Carga!AI26,'Lista Mercancías'!$A$2:$B$100,2,FALSE),0)</f>
        <v>0</v>
      </c>
      <c r="AE26" s="9">
        <f>IFERROR(VLOOKUP(Carga!AJ26,'Lista Mercancías'!$A$2:$B$100,2,FALSE),0)</f>
        <v>0</v>
      </c>
      <c r="AF26" s="9">
        <f>IFERROR(VLOOKUP(Carga!AK26,'Lista Mercancías'!$A$2:$B$100,2,FALSE),0)</f>
        <v>0</v>
      </c>
    </row>
    <row r="27">
      <c r="A27" s="9" t="str">
        <f>Caravana!A29</f>
        <v>Cómodo 2</v>
      </c>
      <c r="B27" s="9">
        <f t="shared" si="2"/>
        <v>2.5</v>
      </c>
      <c r="C27" s="9">
        <f>IFERROR(VLOOKUP(Carga!D27,'Lista Mercancías'!$A$2:$B$100,2,FALSE),0)</f>
        <v>1</v>
      </c>
      <c r="D27" s="9">
        <f>IFERROR(VLOOKUP(Carga!E27,'Lista Mercancías'!$A$2:$B$100,2,FALSE),0)</f>
        <v>0.5</v>
      </c>
      <c r="E27" s="9">
        <f>IFERROR(VLOOKUP(Carga!F27,'Lista Mercancías'!$A$2:$B$100,2,FALSE),0)</f>
        <v>1</v>
      </c>
      <c r="F27" s="9">
        <f>IFERROR(VLOOKUP(Carga!G27,'Lista Mercancías'!$A$2:$B$100,2,FALSE),0)</f>
        <v>0</v>
      </c>
      <c r="G27" s="9">
        <f>IFERROR(VLOOKUP(Carga!H27,'Lista Mercancías'!$A$2:$B$100,2,FALSE),0)</f>
        <v>0</v>
      </c>
      <c r="H27" s="9">
        <f>IFERROR(VLOOKUP(Carga!I27,'Lista Mercancías'!$A$2:$B$100,2,FALSE),0)</f>
        <v>0</v>
      </c>
      <c r="I27" s="9">
        <f>IFERROR(VLOOKUP(Carga!J27,'Lista Mercancías'!$A$2:$B$100,2,FALSE),0)</f>
        <v>0</v>
      </c>
      <c r="J27" s="9">
        <f>IFERROR(VLOOKUP(Carga!K27,'Lista Mercancías'!$A$2:$B$100,2,FALSE),0)</f>
        <v>0</v>
      </c>
      <c r="K27" s="9">
        <f>IFERROR(VLOOKUP(Carga!L27,'Lista Mercancías'!$A$2:$B$100,2,FALSE),0)</f>
        <v>0</v>
      </c>
      <c r="L27" s="9">
        <f>IFERROR(VLOOKUP(Carga!M27,'Lista Mercancías'!$A$2:$B$100,2,FALSE),0)</f>
        <v>0</v>
      </c>
      <c r="M27" s="9">
        <f>IFERROR(VLOOKUP(Carga!N27,'Lista Mercancías'!$A$2:$B$100,2,FALSE),0)</f>
        <v>0</v>
      </c>
      <c r="N27" s="9">
        <f>IFERROR(VLOOKUP(Carga!O27,'Lista Mercancías'!$A$2:$B$100,2,FALSE),0)</f>
        <v>0</v>
      </c>
      <c r="O27" s="9">
        <f>IFERROR(VLOOKUP(Carga!P27,'Lista Mercancías'!$A$2:$B$100,2,FALSE),0)</f>
        <v>0</v>
      </c>
      <c r="P27" s="9">
        <f>IFERROR(VLOOKUP(Carga!Q27,'Lista Mercancías'!$A$2:$B$100,2,FALSE),0)</f>
        <v>0</v>
      </c>
      <c r="Q27" s="9">
        <f>IFERROR(VLOOKUP(Carga!R27,'Lista Mercancías'!$A$2:$B$100,2,FALSE),0)</f>
        <v>0</v>
      </c>
      <c r="R27" s="9">
        <f>IFERROR(VLOOKUP(Carga!S27,'Lista Mercancías'!$A$2:$B$100,2,FALSE),0)</f>
        <v>0</v>
      </c>
      <c r="S27" s="9">
        <f>IFERROR(VLOOKUP(Carga!T27,'Lista Mercancías'!$A$2:$B$100,2,FALSE),0)</f>
        <v>0</v>
      </c>
      <c r="T27" s="9">
        <f>IFERROR(VLOOKUP(Carga!U27,'Lista Mercancías'!$A$2:$B$100,2,FALSE),0)</f>
        <v>0</v>
      </c>
      <c r="U27" s="9">
        <f>IFERROR(VLOOKUP(Carga!V27,'Lista Mercancías'!$A$2:$B$100,2,FALSE),0)</f>
        <v>0</v>
      </c>
      <c r="V27" s="9">
        <f>IFERROR(VLOOKUP(Carga!W27,'Lista Mercancías'!$A$2:$B$100,2,FALSE),0)</f>
        <v>0</v>
      </c>
      <c r="W27" s="9">
        <f>IFERROR(VLOOKUP(Carga!X27,'Lista Mercancías'!$A$2:$B$100,2,FALSE),0)</f>
        <v>0</v>
      </c>
      <c r="X27" s="9">
        <f>IFERROR(VLOOKUP(Carga!Y27,'Lista Mercancías'!$A$2:$B$100,2,FALSE),0)</f>
        <v>0</v>
      </c>
      <c r="Y27" s="9">
        <f>IFERROR(VLOOKUP(Carga!Z27,'Lista Mercancías'!$A$2:$B$100,2,FALSE),0)</f>
        <v>0</v>
      </c>
      <c r="Z27" s="9">
        <f>IFERROR(VLOOKUP(Carga!AA27,'Lista Mercancías'!$A$2:$B$100,2,FALSE),0)</f>
        <v>0</v>
      </c>
      <c r="AA27" s="9">
        <f>IFERROR(VLOOKUP(Carga!AB27,'Lista Mercancías'!$A$2:$B$100,2,FALSE),0)</f>
        <v>0</v>
      </c>
      <c r="AB27" s="9">
        <f>IFERROR(VLOOKUP(Carga!AC27,'Lista Mercancías'!$A$2:$B$100,2,FALSE),0)</f>
        <v>0</v>
      </c>
      <c r="AC27" s="9">
        <f>IFERROR(VLOOKUP(Carga!AH27,'Lista Mercancías'!$A$2:$B$100,2,FALSE),0)</f>
        <v>0</v>
      </c>
      <c r="AD27" s="9">
        <f>IFERROR(VLOOKUP(Carga!AI27,'Lista Mercancías'!$A$2:$B$100,2,FALSE),0)</f>
        <v>0</v>
      </c>
      <c r="AE27" s="9">
        <f>IFERROR(VLOOKUP(Carga!AJ27,'Lista Mercancías'!$A$2:$B$100,2,FALSE),0)</f>
        <v>0</v>
      </c>
      <c r="AF27" s="9">
        <f>IFERROR(VLOOKUP(Carga!AK27,'Lista Mercancías'!$A$2:$B$100,2,FALSE),0)</f>
        <v>0</v>
      </c>
    </row>
    <row r="28">
      <c r="A28" s="9" t="str">
        <f>Caravana!A30</f>
        <v>Real</v>
      </c>
      <c r="B28" s="9">
        <f t="shared" si="2"/>
        <v>1</v>
      </c>
      <c r="C28" s="9">
        <f>IFERROR(VLOOKUP(Carga!D28,'Lista Mercancías'!$A$2:$B$100,2,FALSE),0)</f>
        <v>1</v>
      </c>
      <c r="D28" s="9">
        <f>IFERROR(VLOOKUP(Carga!E28,'Lista Mercancías'!$A$2:$B$100,2,FALSE),0)</f>
        <v>0</v>
      </c>
      <c r="E28" s="9">
        <f>IFERROR(VLOOKUP(Carga!F28,'Lista Mercancías'!$A$2:$B$100,2,FALSE),0)</f>
        <v>0</v>
      </c>
      <c r="F28" s="9">
        <f>IFERROR(VLOOKUP(Carga!G28,'Lista Mercancías'!$A$2:$B$100,2,FALSE),0)</f>
        <v>0</v>
      </c>
      <c r="G28" s="9">
        <f>IFERROR(VLOOKUP(Carga!H28,'Lista Mercancías'!$A$2:$B$100,2,FALSE),0)</f>
        <v>0</v>
      </c>
      <c r="H28" s="9">
        <f>IFERROR(VLOOKUP(Carga!I28,'Lista Mercancías'!$A$2:$B$100,2,FALSE),0)</f>
        <v>0</v>
      </c>
      <c r="I28" s="9">
        <f>IFERROR(VLOOKUP(Carga!J28,'Lista Mercancías'!$A$2:$B$100,2,FALSE),0)</f>
        <v>0</v>
      </c>
      <c r="J28" s="9">
        <f>IFERROR(VLOOKUP(Carga!K28,'Lista Mercancías'!$A$2:$B$100,2,FALSE),0)</f>
        <v>0</v>
      </c>
      <c r="K28" s="9">
        <f>IFERROR(VLOOKUP(Carga!L28,'Lista Mercancías'!$A$2:$B$100,2,FALSE),0)</f>
        <v>0</v>
      </c>
      <c r="L28" s="9">
        <f>IFERROR(VLOOKUP(Carga!M28,'Lista Mercancías'!$A$2:$B$100,2,FALSE),0)</f>
        <v>0</v>
      </c>
      <c r="M28" s="9">
        <f>IFERROR(VLOOKUP(Carga!N28,'Lista Mercancías'!$A$2:$B$100,2,FALSE),0)</f>
        <v>0</v>
      </c>
      <c r="N28" s="9">
        <f>IFERROR(VLOOKUP(Carga!O28,'Lista Mercancías'!$A$2:$B$100,2,FALSE),0)</f>
        <v>0</v>
      </c>
      <c r="O28" s="9">
        <f>IFERROR(VLOOKUP(Carga!P28,'Lista Mercancías'!$A$2:$B$100,2,FALSE),0)</f>
        <v>0</v>
      </c>
      <c r="P28" s="9">
        <f>IFERROR(VLOOKUP(Carga!Q28,'Lista Mercancías'!$A$2:$B$100,2,FALSE),0)</f>
        <v>0</v>
      </c>
      <c r="Q28" s="9">
        <f>IFERROR(VLOOKUP(Carga!R28,'Lista Mercancías'!$A$2:$B$100,2,FALSE),0)</f>
        <v>0</v>
      </c>
      <c r="R28" s="9">
        <f>IFERROR(VLOOKUP(Carga!S28,'Lista Mercancías'!$A$2:$B$100,2,FALSE),0)</f>
        <v>0</v>
      </c>
      <c r="S28" s="9">
        <f>IFERROR(VLOOKUP(Carga!T28,'Lista Mercancías'!$A$2:$B$100,2,FALSE),0)</f>
        <v>0</v>
      </c>
      <c r="T28" s="9">
        <f>IFERROR(VLOOKUP(Carga!U28,'Lista Mercancías'!$A$2:$B$100,2,FALSE),0)</f>
        <v>0</v>
      </c>
      <c r="U28" s="9">
        <f>IFERROR(VLOOKUP(Carga!V28,'Lista Mercancías'!$A$2:$B$100,2,FALSE),0)</f>
        <v>0</v>
      </c>
      <c r="V28" s="9">
        <f>IFERROR(VLOOKUP(Carga!W28,'Lista Mercancías'!$A$2:$B$100,2,FALSE),0)</f>
        <v>0</v>
      </c>
      <c r="W28" s="9">
        <f>IFERROR(VLOOKUP(Carga!X28,'Lista Mercancías'!$A$2:$B$100,2,FALSE),0)</f>
        <v>0</v>
      </c>
      <c r="X28" s="9">
        <f>IFERROR(VLOOKUP(Carga!Y28,'Lista Mercancías'!$A$2:$B$100,2,FALSE),0)</f>
        <v>0</v>
      </c>
      <c r="Y28" s="9">
        <f>IFERROR(VLOOKUP(Carga!Z28,'Lista Mercancías'!$A$2:$B$100,2,FALSE),0)</f>
        <v>0</v>
      </c>
      <c r="Z28" s="9">
        <f>IFERROR(VLOOKUP(Carga!AA28,'Lista Mercancías'!$A$2:$B$100,2,FALSE),0)</f>
        <v>0</v>
      </c>
      <c r="AA28" s="9">
        <f>IFERROR(VLOOKUP(Carga!AB28,'Lista Mercancías'!$A$2:$B$100,2,FALSE),0)</f>
        <v>0</v>
      </c>
      <c r="AB28" s="9">
        <f>IFERROR(VLOOKUP(Carga!AC28,'Lista Mercancías'!$A$2:$B$100,2,FALSE),0)</f>
        <v>0</v>
      </c>
      <c r="AC28" s="9">
        <f>IFERROR(VLOOKUP(Carga!AH28,'Lista Mercancías'!$A$2:$B$100,2,FALSE),0)</f>
        <v>0</v>
      </c>
      <c r="AD28" s="9">
        <f>IFERROR(VLOOKUP(Carga!AI28,'Lista Mercancías'!$A$2:$B$100,2,FALSE),0)</f>
        <v>0</v>
      </c>
      <c r="AE28" s="9">
        <f>IFERROR(VLOOKUP(Carga!AJ28,'Lista Mercancías'!$A$2:$B$100,2,FALSE),0)</f>
        <v>0</v>
      </c>
      <c r="AF28" s="9">
        <f>IFERROR(VLOOKUP(Carga!AK28,'Lista Mercancías'!$A$2:$B$100,2,FALSE),0)</f>
        <v>0</v>
      </c>
    </row>
    <row r="29">
      <c r="A29" s="9" t="str">
        <f>Caravana!A31</f>
        <v>Viajeros grande</v>
      </c>
      <c r="B29" s="9">
        <f t="shared" si="2"/>
        <v>0</v>
      </c>
      <c r="C29" s="9">
        <f>IFERROR(VLOOKUP(Carga!D29,'Lista Mercancías'!$A$2:$B$100,2,FALSE),0)</f>
        <v>0</v>
      </c>
      <c r="D29" s="9">
        <f>IFERROR(VLOOKUP(Carga!E29,'Lista Mercancías'!$A$2:$B$100,2,FALSE),0)</f>
        <v>0</v>
      </c>
      <c r="E29" s="9">
        <f>IFERROR(VLOOKUP(Carga!F29,'Lista Mercancías'!$A$2:$B$100,2,FALSE),0)</f>
        <v>0</v>
      </c>
      <c r="F29" s="9">
        <f>IFERROR(VLOOKUP(Carga!G29,'Lista Mercancías'!$A$2:$B$100,2,FALSE),0)</f>
        <v>0</v>
      </c>
      <c r="G29" s="9">
        <f>IFERROR(VLOOKUP(Carga!H29,'Lista Mercancías'!$A$2:$B$100,2,FALSE),0)</f>
        <v>0</v>
      </c>
      <c r="H29" s="9">
        <f>IFERROR(VLOOKUP(Carga!I29,'Lista Mercancías'!$A$2:$B$100,2,FALSE),0)</f>
        <v>0</v>
      </c>
      <c r="I29" s="9">
        <f>IFERROR(VLOOKUP(Carga!J29,'Lista Mercancías'!$A$2:$B$100,2,FALSE),0)</f>
        <v>0</v>
      </c>
      <c r="J29" s="9">
        <f>IFERROR(VLOOKUP(Carga!K29,'Lista Mercancías'!$A$2:$B$100,2,FALSE),0)</f>
        <v>0</v>
      </c>
      <c r="K29" s="9">
        <f>IFERROR(VLOOKUP(Carga!L29,'Lista Mercancías'!$A$2:$B$100,2,FALSE),0)</f>
        <v>0</v>
      </c>
      <c r="L29" s="9">
        <f>IFERROR(VLOOKUP(Carga!M29,'Lista Mercancías'!$A$2:$B$100,2,FALSE),0)</f>
        <v>0</v>
      </c>
      <c r="M29" s="9">
        <f>IFERROR(VLOOKUP(Carga!N29,'Lista Mercancías'!$A$2:$B$100,2,FALSE),0)</f>
        <v>0</v>
      </c>
      <c r="N29" s="9">
        <f>IFERROR(VLOOKUP(Carga!O29,'Lista Mercancías'!$A$2:$B$100,2,FALSE),0)</f>
        <v>0</v>
      </c>
      <c r="O29" s="9">
        <f>IFERROR(VLOOKUP(Carga!P29,'Lista Mercancías'!$A$2:$B$100,2,FALSE),0)</f>
        <v>0</v>
      </c>
      <c r="P29" s="9">
        <f>IFERROR(VLOOKUP(Carga!Q29,'Lista Mercancías'!$A$2:$B$100,2,FALSE),0)</f>
        <v>0</v>
      </c>
      <c r="Q29" s="9">
        <f>IFERROR(VLOOKUP(Carga!R29,'Lista Mercancías'!$A$2:$B$100,2,FALSE),0)</f>
        <v>0</v>
      </c>
      <c r="R29" s="9">
        <f>IFERROR(VLOOKUP(Carga!S29,'Lista Mercancías'!$A$2:$B$100,2,FALSE),0)</f>
        <v>0</v>
      </c>
      <c r="S29" s="9">
        <f>IFERROR(VLOOKUP(Carga!T29,'Lista Mercancías'!$A$2:$B$100,2,FALSE),0)</f>
        <v>0</v>
      </c>
      <c r="T29" s="9">
        <f>IFERROR(VLOOKUP(Carga!U29,'Lista Mercancías'!$A$2:$B$100,2,FALSE),0)</f>
        <v>0</v>
      </c>
      <c r="U29" s="9">
        <f>IFERROR(VLOOKUP(Carga!V29,'Lista Mercancías'!$A$2:$B$100,2,FALSE),0)</f>
        <v>0</v>
      </c>
      <c r="V29" s="9">
        <f>IFERROR(VLOOKUP(Carga!W29,'Lista Mercancías'!$A$2:$B$100,2,FALSE),0)</f>
        <v>0</v>
      </c>
      <c r="W29" s="9">
        <f>IFERROR(VLOOKUP(Carga!X29,'Lista Mercancías'!$A$2:$B$100,2,FALSE),0)</f>
        <v>0</v>
      </c>
      <c r="X29" s="9">
        <f>IFERROR(VLOOKUP(Carga!Y29,'Lista Mercancías'!$A$2:$B$100,2,FALSE),0)</f>
        <v>0</v>
      </c>
      <c r="Y29" s="9">
        <f>IFERROR(VLOOKUP(Carga!Z29,'Lista Mercancías'!$A$2:$B$100,2,FALSE),0)</f>
        <v>0</v>
      </c>
      <c r="Z29" s="9">
        <f>IFERROR(VLOOKUP(Carga!AA29,'Lista Mercancías'!$A$2:$B$100,2,FALSE),0)</f>
        <v>0</v>
      </c>
      <c r="AA29" s="9">
        <f>IFERROR(VLOOKUP(Carga!AB29,'Lista Mercancías'!$A$2:$B$100,2,FALSE),0)</f>
        <v>0</v>
      </c>
      <c r="AB29" s="9">
        <f>IFERROR(VLOOKUP(Carga!AC29,'Lista Mercancías'!$A$2:$B$100,2,FALSE),0)</f>
        <v>0</v>
      </c>
      <c r="AC29" s="9">
        <f>IFERROR(VLOOKUP(Carga!AH29,'Lista Mercancías'!$A$2:$B$100,2,FALSE),0)</f>
        <v>0</v>
      </c>
      <c r="AD29" s="9">
        <f>IFERROR(VLOOKUP(Carga!AI29,'Lista Mercancías'!$A$2:$B$100,2,FALSE),0)</f>
        <v>0</v>
      </c>
      <c r="AE29" s="9">
        <f>IFERROR(VLOOKUP(Carga!AJ29,'Lista Mercancías'!$A$2:$B$100,2,FALSE),0)</f>
        <v>0</v>
      </c>
      <c r="AF29" s="9">
        <f>IFERROR(VLOOKUP(Carga!AK29,'Lista Mercancías'!$A$2:$B$100,2,FALSE),0)</f>
        <v>0</v>
      </c>
    </row>
    <row r="30">
      <c r="A30" s="9" t="str">
        <f>Caravana!A32</f>
        <v/>
      </c>
      <c r="B30" s="9">
        <f t="shared" si="2"/>
        <v>0</v>
      </c>
      <c r="C30" s="9">
        <f>IFERROR(VLOOKUP(Carga!D30,'Lista Mercancías'!$A$2:$B$100,2,FALSE),0)</f>
        <v>0</v>
      </c>
      <c r="D30" s="9">
        <f>IFERROR(VLOOKUP(Carga!E30,'Lista Mercancías'!$A$2:$B$100,2,FALSE),0)</f>
        <v>0</v>
      </c>
      <c r="E30" s="9">
        <f>IFERROR(VLOOKUP(Carga!F30,'Lista Mercancías'!$A$2:$B$100,2,FALSE),0)</f>
        <v>0</v>
      </c>
      <c r="F30" s="9">
        <f>IFERROR(VLOOKUP(Carga!G30,'Lista Mercancías'!$A$2:$B$100,2,FALSE),0)</f>
        <v>0</v>
      </c>
      <c r="G30" s="9">
        <f>IFERROR(VLOOKUP(Carga!H30,'Lista Mercancías'!$A$2:$B$100,2,FALSE),0)</f>
        <v>0</v>
      </c>
      <c r="H30" s="9">
        <f>IFERROR(VLOOKUP(Carga!I30,'Lista Mercancías'!$A$2:$B$100,2,FALSE),0)</f>
        <v>0</v>
      </c>
      <c r="I30" s="9">
        <f>IFERROR(VLOOKUP(Carga!J30,'Lista Mercancías'!$A$2:$B$100,2,FALSE),0)</f>
        <v>0</v>
      </c>
      <c r="J30" s="9">
        <f>IFERROR(VLOOKUP(Carga!K30,'Lista Mercancías'!$A$2:$B$100,2,FALSE),0)</f>
        <v>0</v>
      </c>
      <c r="K30" s="9">
        <f>IFERROR(VLOOKUP(Carga!L30,'Lista Mercancías'!$A$2:$B$100,2,FALSE),0)</f>
        <v>0</v>
      </c>
      <c r="L30" s="9">
        <f>IFERROR(VLOOKUP(Carga!M30,'Lista Mercancías'!$A$2:$B$100,2,FALSE),0)</f>
        <v>0</v>
      </c>
      <c r="M30" s="9">
        <f>IFERROR(VLOOKUP(Carga!N30,'Lista Mercancías'!$A$2:$B$100,2,FALSE),0)</f>
        <v>0</v>
      </c>
      <c r="N30" s="9">
        <f>IFERROR(VLOOKUP(Carga!O30,'Lista Mercancías'!$A$2:$B$100,2,FALSE),0)</f>
        <v>0</v>
      </c>
      <c r="O30" s="9">
        <f>IFERROR(VLOOKUP(Carga!P30,'Lista Mercancías'!$A$2:$B$100,2,FALSE),0)</f>
        <v>0</v>
      </c>
      <c r="P30" s="9">
        <f>IFERROR(VLOOKUP(Carga!Q30,'Lista Mercancías'!$A$2:$B$100,2,FALSE),0)</f>
        <v>0</v>
      </c>
      <c r="Q30" s="9">
        <f>IFERROR(VLOOKUP(Carga!R30,'Lista Mercancías'!$A$2:$B$100,2,FALSE),0)</f>
        <v>0</v>
      </c>
      <c r="R30" s="9">
        <f>IFERROR(VLOOKUP(Carga!S30,'Lista Mercancías'!$A$2:$B$100,2,FALSE),0)</f>
        <v>0</v>
      </c>
      <c r="S30" s="9">
        <f>IFERROR(VLOOKUP(Carga!T30,'Lista Mercancías'!$A$2:$B$100,2,FALSE),0)</f>
        <v>0</v>
      </c>
      <c r="T30" s="9">
        <f>IFERROR(VLOOKUP(Carga!U30,'Lista Mercancías'!$A$2:$B$100,2,FALSE),0)</f>
        <v>0</v>
      </c>
      <c r="U30" s="9">
        <f>IFERROR(VLOOKUP(Carga!V30,'Lista Mercancías'!$A$2:$B$100,2,FALSE),0)</f>
        <v>0</v>
      </c>
      <c r="V30" s="9">
        <f>IFERROR(VLOOKUP(Carga!W30,'Lista Mercancías'!$A$2:$B$100,2,FALSE),0)</f>
        <v>0</v>
      </c>
      <c r="W30" s="9">
        <f>IFERROR(VLOOKUP(Carga!X30,'Lista Mercancías'!$A$2:$B$100,2,FALSE),0)</f>
        <v>0</v>
      </c>
      <c r="X30" s="9">
        <f>IFERROR(VLOOKUP(Carga!Y30,'Lista Mercancías'!$A$2:$B$100,2,FALSE),0)</f>
        <v>0</v>
      </c>
      <c r="Y30" s="9">
        <f>IFERROR(VLOOKUP(Carga!Z30,'Lista Mercancías'!$A$2:$B$100,2,FALSE),0)</f>
        <v>0</v>
      </c>
      <c r="Z30" s="9">
        <f>IFERROR(VLOOKUP(Carga!AA30,'Lista Mercancías'!$A$2:$B$100,2,FALSE),0)</f>
        <v>0</v>
      </c>
      <c r="AA30" s="9">
        <f>IFERROR(VLOOKUP(Carga!AB30,'Lista Mercancías'!$A$2:$B$100,2,FALSE),0)</f>
        <v>0</v>
      </c>
      <c r="AB30" s="9">
        <f>IFERROR(VLOOKUP(Carga!AC30,'Lista Mercancías'!$A$2:$B$100,2,FALSE),0)</f>
        <v>0</v>
      </c>
      <c r="AC30" s="9">
        <f>IFERROR(VLOOKUP(Carga!AH30,'Lista Mercancías'!$A$2:$B$100,2,FALSE),0)</f>
        <v>0</v>
      </c>
      <c r="AD30" s="9">
        <f>IFERROR(VLOOKUP(Carga!AI30,'Lista Mercancías'!$A$2:$B$100,2,FALSE),0)</f>
        <v>0</v>
      </c>
      <c r="AE30" s="9">
        <f>IFERROR(VLOOKUP(Carga!AJ30,'Lista Mercancías'!$A$2:$B$100,2,FALSE),0)</f>
        <v>0</v>
      </c>
      <c r="AF30" s="9">
        <f>IFERROR(VLOOKUP(Carga!AK30,'Lista Mercancías'!$A$2:$B$100,2,FALSE),0)</f>
        <v>0</v>
      </c>
    </row>
    <row r="31">
      <c r="A31" s="9" t="str">
        <f>Caravana!A33</f>
        <v/>
      </c>
      <c r="B31" s="9">
        <f t="shared" si="2"/>
        <v>0</v>
      </c>
      <c r="C31" s="9">
        <f>IFERROR(VLOOKUP(Carga!D31,'Lista Mercancías'!$A$2:$B$100,2,FALSE),0)</f>
        <v>0</v>
      </c>
      <c r="D31" s="9">
        <f>IFERROR(VLOOKUP(Carga!E31,'Lista Mercancías'!$A$2:$B$100,2,FALSE),0)</f>
        <v>0</v>
      </c>
      <c r="E31" s="9">
        <f>IFERROR(VLOOKUP(Carga!F31,'Lista Mercancías'!$A$2:$B$100,2,FALSE),0)</f>
        <v>0</v>
      </c>
      <c r="F31" s="9">
        <f>IFERROR(VLOOKUP(Carga!G31,'Lista Mercancías'!$A$2:$B$100,2,FALSE),0)</f>
        <v>0</v>
      </c>
      <c r="G31" s="9">
        <f>IFERROR(VLOOKUP(Carga!H31,'Lista Mercancías'!$A$2:$B$100,2,FALSE),0)</f>
        <v>0</v>
      </c>
      <c r="H31" s="9">
        <f>IFERROR(VLOOKUP(Carga!I31,'Lista Mercancías'!$A$2:$B$100,2,FALSE),0)</f>
        <v>0</v>
      </c>
      <c r="I31" s="9">
        <f>IFERROR(VLOOKUP(Carga!J31,'Lista Mercancías'!$A$2:$B$100,2,FALSE),0)</f>
        <v>0</v>
      </c>
      <c r="J31" s="9">
        <f>IFERROR(VLOOKUP(Carga!K31,'Lista Mercancías'!$A$2:$B$100,2,FALSE),0)</f>
        <v>0</v>
      </c>
      <c r="K31" s="9">
        <f>IFERROR(VLOOKUP(Carga!L31,'Lista Mercancías'!$A$2:$B$100,2,FALSE),0)</f>
        <v>0</v>
      </c>
      <c r="L31" s="9">
        <f>IFERROR(VLOOKUP(Carga!M31,'Lista Mercancías'!$A$2:$B$100,2,FALSE),0)</f>
        <v>0</v>
      </c>
      <c r="M31" s="9">
        <f>IFERROR(VLOOKUP(Carga!N31,'Lista Mercancías'!$A$2:$B$100,2,FALSE),0)</f>
        <v>0</v>
      </c>
      <c r="N31" s="9">
        <f>IFERROR(VLOOKUP(Carga!O31,'Lista Mercancías'!$A$2:$B$100,2,FALSE),0)</f>
        <v>0</v>
      </c>
      <c r="O31" s="9">
        <f>IFERROR(VLOOKUP(Carga!P31,'Lista Mercancías'!$A$2:$B$100,2,FALSE),0)</f>
        <v>0</v>
      </c>
      <c r="P31" s="9">
        <f>IFERROR(VLOOKUP(Carga!Q31,'Lista Mercancías'!$A$2:$B$100,2,FALSE),0)</f>
        <v>0</v>
      </c>
      <c r="Q31" s="9">
        <f>IFERROR(VLOOKUP(Carga!R31,'Lista Mercancías'!$A$2:$B$100,2,FALSE),0)</f>
        <v>0</v>
      </c>
      <c r="R31" s="9">
        <f>IFERROR(VLOOKUP(Carga!S31,'Lista Mercancías'!$A$2:$B$100,2,FALSE),0)</f>
        <v>0</v>
      </c>
      <c r="S31" s="9">
        <f>IFERROR(VLOOKUP(Carga!T31,'Lista Mercancías'!$A$2:$B$100,2,FALSE),0)</f>
        <v>0</v>
      </c>
      <c r="T31" s="9">
        <f>IFERROR(VLOOKUP(Carga!U31,'Lista Mercancías'!$A$2:$B$100,2,FALSE),0)</f>
        <v>0</v>
      </c>
      <c r="U31" s="9">
        <f>IFERROR(VLOOKUP(Carga!V31,'Lista Mercancías'!$A$2:$B$100,2,FALSE),0)</f>
        <v>0</v>
      </c>
      <c r="V31" s="9">
        <f>IFERROR(VLOOKUP(Carga!W31,'Lista Mercancías'!$A$2:$B$100,2,FALSE),0)</f>
        <v>0</v>
      </c>
      <c r="W31" s="9">
        <f>IFERROR(VLOOKUP(Carga!X31,'Lista Mercancías'!$A$2:$B$100,2,FALSE),0)</f>
        <v>0</v>
      </c>
      <c r="X31" s="9">
        <f>IFERROR(VLOOKUP(Carga!Y31,'Lista Mercancías'!$A$2:$B$100,2,FALSE),0)</f>
        <v>0</v>
      </c>
      <c r="Y31" s="9">
        <f>IFERROR(VLOOKUP(Carga!Z31,'Lista Mercancías'!$A$2:$B$100,2,FALSE),0)</f>
        <v>0</v>
      </c>
      <c r="Z31" s="9">
        <f>IFERROR(VLOOKUP(Carga!AA31,'Lista Mercancías'!$A$2:$B$100,2,FALSE),0)</f>
        <v>0</v>
      </c>
      <c r="AA31" s="9">
        <f>IFERROR(VLOOKUP(Carga!AB31,'Lista Mercancías'!$A$2:$B$100,2,FALSE),0)</f>
        <v>0</v>
      </c>
      <c r="AB31" s="9">
        <f>IFERROR(VLOOKUP(Carga!AC31,'Lista Mercancías'!$A$2:$B$100,2,FALSE),0)</f>
        <v>0</v>
      </c>
      <c r="AC31" s="9">
        <f>IFERROR(VLOOKUP(Carga!AH31,'Lista Mercancías'!$A$2:$B$100,2,FALSE),0)</f>
        <v>0</v>
      </c>
      <c r="AD31" s="9">
        <f>IFERROR(VLOOKUP(Carga!AI31,'Lista Mercancías'!$A$2:$B$100,2,FALSE),0)</f>
        <v>0</v>
      </c>
      <c r="AE31" s="9">
        <f>IFERROR(VLOOKUP(Carga!AJ31,'Lista Mercancías'!$A$2:$B$100,2,FALSE),0)</f>
        <v>0</v>
      </c>
      <c r="AF31" s="9">
        <f>IFERROR(VLOOKUP(Carga!AK31,'Lista Mercancías'!$A$2:$B$100,2,FALSE),0)</f>
        <v>0</v>
      </c>
    </row>
    <row r="32">
      <c r="A32" s="9" t="str">
        <f>Caravana!A34</f>
        <v/>
      </c>
      <c r="B32" s="9">
        <f t="shared" si="2"/>
        <v>0</v>
      </c>
      <c r="C32" s="9">
        <f>IFERROR(VLOOKUP(Carga!D32,'Lista Mercancías'!$A$2:$B$100,2,FALSE),0)</f>
        <v>0</v>
      </c>
      <c r="D32" s="9">
        <f>IFERROR(VLOOKUP(Carga!E32,'Lista Mercancías'!$A$2:$B$100,2,FALSE),0)</f>
        <v>0</v>
      </c>
      <c r="E32" s="9">
        <f>IFERROR(VLOOKUP(Carga!F32,'Lista Mercancías'!$A$2:$B$100,2,FALSE),0)</f>
        <v>0</v>
      </c>
      <c r="F32" s="9">
        <f>IFERROR(VLOOKUP(Carga!G32,'Lista Mercancías'!$A$2:$B$100,2,FALSE),0)</f>
        <v>0</v>
      </c>
      <c r="G32" s="9">
        <f>IFERROR(VLOOKUP(Carga!H32,'Lista Mercancías'!$A$2:$B$100,2,FALSE),0)</f>
        <v>0</v>
      </c>
      <c r="H32" s="9">
        <f>IFERROR(VLOOKUP(Carga!I32,'Lista Mercancías'!$A$2:$B$100,2,FALSE),0)</f>
        <v>0</v>
      </c>
      <c r="I32" s="9">
        <f>IFERROR(VLOOKUP(Carga!J32,'Lista Mercancías'!$A$2:$B$100,2,FALSE),0)</f>
        <v>0</v>
      </c>
      <c r="J32" s="9">
        <f>IFERROR(VLOOKUP(Carga!K32,'Lista Mercancías'!$A$2:$B$100,2,FALSE),0)</f>
        <v>0</v>
      </c>
      <c r="K32" s="9">
        <f>IFERROR(VLOOKUP(Carga!L32,'Lista Mercancías'!$A$2:$B$100,2,FALSE),0)</f>
        <v>0</v>
      </c>
      <c r="L32" s="9">
        <f>IFERROR(VLOOKUP(Carga!M32,'Lista Mercancías'!$A$2:$B$100,2,FALSE),0)</f>
        <v>0</v>
      </c>
      <c r="M32" s="9">
        <f>IFERROR(VLOOKUP(Carga!N32,'Lista Mercancías'!$A$2:$B$100,2,FALSE),0)</f>
        <v>0</v>
      </c>
      <c r="N32" s="9">
        <f>IFERROR(VLOOKUP(Carga!O32,'Lista Mercancías'!$A$2:$B$100,2,FALSE),0)</f>
        <v>0</v>
      </c>
      <c r="O32" s="9">
        <f>IFERROR(VLOOKUP(Carga!P32,'Lista Mercancías'!$A$2:$B$100,2,FALSE),0)</f>
        <v>0</v>
      </c>
      <c r="P32" s="9">
        <f>IFERROR(VLOOKUP(Carga!Q32,'Lista Mercancías'!$A$2:$B$100,2,FALSE),0)</f>
        <v>0</v>
      </c>
      <c r="Q32" s="9">
        <f>IFERROR(VLOOKUP(Carga!R32,'Lista Mercancías'!$A$2:$B$100,2,FALSE),0)</f>
        <v>0</v>
      </c>
      <c r="R32" s="9">
        <f>IFERROR(VLOOKUP(Carga!S32,'Lista Mercancías'!$A$2:$B$100,2,FALSE),0)</f>
        <v>0</v>
      </c>
      <c r="S32" s="9">
        <f>IFERROR(VLOOKUP(Carga!T32,'Lista Mercancías'!$A$2:$B$100,2,FALSE),0)</f>
        <v>0</v>
      </c>
      <c r="T32" s="9">
        <f>IFERROR(VLOOKUP(Carga!U32,'Lista Mercancías'!$A$2:$B$100,2,FALSE),0)</f>
        <v>0</v>
      </c>
      <c r="U32" s="9">
        <f>IFERROR(VLOOKUP(Carga!V32,'Lista Mercancías'!$A$2:$B$100,2,FALSE),0)</f>
        <v>0</v>
      </c>
      <c r="V32" s="9">
        <f>IFERROR(VLOOKUP(Carga!W32,'Lista Mercancías'!$A$2:$B$100,2,FALSE),0)</f>
        <v>0</v>
      </c>
      <c r="W32" s="9">
        <f>IFERROR(VLOOKUP(Carga!X32,'Lista Mercancías'!$A$2:$B$100,2,FALSE),0)</f>
        <v>0</v>
      </c>
      <c r="X32" s="9">
        <f>IFERROR(VLOOKUP(Carga!Y32,'Lista Mercancías'!$A$2:$B$100,2,FALSE),0)</f>
        <v>0</v>
      </c>
      <c r="Y32" s="9">
        <f>IFERROR(VLOOKUP(Carga!Z32,'Lista Mercancías'!$A$2:$B$100,2,FALSE),0)</f>
        <v>0</v>
      </c>
      <c r="Z32" s="9">
        <f>IFERROR(VLOOKUP(Carga!AA32,'Lista Mercancías'!$A$2:$B$100,2,FALSE),0)</f>
        <v>0</v>
      </c>
      <c r="AA32" s="9">
        <f>IFERROR(VLOOKUP(Carga!AB32,'Lista Mercancías'!$A$2:$B$100,2,FALSE),0)</f>
        <v>0</v>
      </c>
      <c r="AB32" s="9">
        <f>IFERROR(VLOOKUP(Carga!AC32,'Lista Mercancías'!$A$2:$B$100,2,FALSE),0)</f>
        <v>0</v>
      </c>
      <c r="AC32" s="9">
        <f>IFERROR(VLOOKUP(Carga!AH32,'Lista Mercancías'!$A$2:$B$100,2,FALSE),0)</f>
        <v>0</v>
      </c>
      <c r="AD32" s="9">
        <f>IFERROR(VLOOKUP(Carga!AI32,'Lista Mercancías'!$A$2:$B$100,2,FALSE),0)</f>
        <v>0</v>
      </c>
      <c r="AE32" s="9">
        <f>IFERROR(VLOOKUP(Carga!AJ32,'Lista Mercancías'!$A$2:$B$100,2,FALSE),0)</f>
        <v>0</v>
      </c>
      <c r="AF32" s="9">
        <f>IFERROR(VLOOKUP(Carga!AK32,'Lista Mercancías'!$A$2:$B$100,2,FALSE),0)</f>
        <v>0</v>
      </c>
    </row>
  </sheetData>
  <drawing r:id="rId1"/>
</worksheet>
</file>